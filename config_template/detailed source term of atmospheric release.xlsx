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45" windowHeight="12375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<sst xmlns="http://schemas.openxmlformats.org/spreadsheetml/2006/main" count="472" uniqueCount="295">
  <si>
    <t>No.</t>
  </si>
  <si>
    <t>Releaseperiod</t>
  </si>
  <si>
    <t>Release</t>
  </si>
  <si>
    <t>Releaserateof</t>
  </si>
  <si>
    <t>137Cs/</t>
  </si>
  <si>
    <t>Gaseous131I/</t>
  </si>
  <si>
    <t>Releaseheight/</t>
  </si>
  <si>
    <t>(Japanstandardtime)</t>
  </si>
  <si>
    <t>duration(h)</t>
  </si>
  <si>
    <t>total131I(Bqh1)</t>
  </si>
  <si>
    <t>total131I</t>
  </si>
  <si>
    <t>volume(m)</t>
  </si>
  <si>
    <t>1O</t>
  </si>
  <si>
    <t>12/305:00–12/309:30</t>
  </si>
  <si>
    <t>5.8×1013</t>
  </si>
  <si>
    <t>2O</t>
  </si>
  <si>
    <t>12/309:30–12/314:00</t>
  </si>
  <si>
    <t>2.7×1013</t>
  </si>
  <si>
    <t>3L</t>
  </si>
  <si>
    <t>12/314:00–12/315:00</t>
  </si>
  <si>
    <t>2.9×1015</t>
  </si>
  <si>
    <t>4O</t>
  </si>
  <si>
    <t>12/315:00–12/315:30</t>
  </si>
  <si>
    <t>1.3×1013</t>
  </si>
  <si>
    <t>5L</t>
  </si>
  <si>
    <t>12/315:30–12/316:00</t>
  </si>
  <si>
    <t>1.4×1016</t>
  </si>
  <si>
    <t>100×100×</t>
  </si>
  <si>
    <t>6O</t>
  </si>
  <si>
    <t>12/316:00–12/322:00</t>
  </si>
  <si>
    <t>1.7×1014</t>
  </si>
  <si>
    <t>100a</t>
  </si>
  <si>
    <t>7O</t>
  </si>
  <si>
    <t>12/322:00–13/304:00</t>
  </si>
  <si>
    <t>3.1×1014</t>
  </si>
  <si>
    <t>8O</t>
  </si>
  <si>
    <t>13/304:00–13/309:00</t>
  </si>
  <si>
    <t>2.2×1014</t>
  </si>
  <si>
    <t>9O</t>
  </si>
  <si>
    <t>13/309:00–13/312:30</t>
  </si>
  <si>
    <t>2.6×1014</t>
  </si>
  <si>
    <t>10O</t>
  </si>
  <si>
    <t>13/312:30–13/315:00</t>
  </si>
  <si>
    <t>5.0×1014</t>
  </si>
  <si>
    <t>11O</t>
  </si>
  <si>
    <t>13/315:00–13/323:00</t>
  </si>
  <si>
    <t>3.0×1014</t>
  </si>
  <si>
    <t>12O</t>
  </si>
  <si>
    <t>13/323:00–14/302:30</t>
  </si>
  <si>
    <t>8.2×1013</t>
  </si>
  <si>
    <t>13O</t>
  </si>
  <si>
    <t>14/302:30–14/307:00</t>
  </si>
  <si>
    <t>4.4×1013</t>
  </si>
  <si>
    <t>14O</t>
  </si>
  <si>
    <t>14/307:00–14/311:00</t>
  </si>
  <si>
    <t>3.5×1013</t>
  </si>
  <si>
    <t>15O</t>
  </si>
  <si>
    <t>14/311:00–14/311:30</t>
  </si>
  <si>
    <t>3.7×1015</t>
  </si>
  <si>
    <t>100×100×300a</t>
  </si>
  <si>
    <t>16O</t>
  </si>
  <si>
    <t>14/311:30–14/318:00</t>
  </si>
  <si>
    <t>1.8×1013</t>
  </si>
  <si>
    <t>17O</t>
  </si>
  <si>
    <t>14/318:00–14/319:00</t>
  </si>
  <si>
    <t>1.1×1013</t>
  </si>
  <si>
    <t>18O</t>
  </si>
  <si>
    <t>14/319:00–14/320:00</t>
  </si>
  <si>
    <t>1.0×1013</t>
  </si>
  <si>
    <t>19O</t>
  </si>
  <si>
    <t>14/320:00–14/321:00</t>
  </si>
  <si>
    <t>20L</t>
  </si>
  <si>
    <t>14/321:00–14/322:00</t>
  </si>
  <si>
    <t>2.4×1014</t>
  </si>
  <si>
    <t>21O</t>
  </si>
  <si>
    <t>14/322:00–14/323:00</t>
  </si>
  <si>
    <t>22L</t>
  </si>
  <si>
    <t>14/323:00–15/300:00</t>
  </si>
  <si>
    <t>5.4×1014</t>
  </si>
  <si>
    <t>23O</t>
  </si>
  <si>
    <t>15/300:00–15/301:00</t>
  </si>
  <si>
    <t>24L</t>
  </si>
  <si>
    <t>15/301:00–15/302:00</t>
  </si>
  <si>
    <t>2.3×1015</t>
  </si>
  <si>
    <t>25L</t>
  </si>
  <si>
    <t>15/302:00–15/303:00</t>
  </si>
  <si>
    <t>3.3×1014</t>
  </si>
  <si>
    <t>26L</t>
  </si>
  <si>
    <t>15/303:00–15/304:00</t>
  </si>
  <si>
    <t>2.9×1014</t>
  </si>
  <si>
    <t>27L</t>
  </si>
  <si>
    <t>15/304:00–15/307:00</t>
  </si>
  <si>
    <t>1.3×1014</t>
  </si>
  <si>
    <t>28L</t>
  </si>
  <si>
    <t>15/307:00–15/310:00</t>
  </si>
  <si>
    <t>1.2×1015</t>
  </si>
  <si>
    <t>29L</t>
  </si>
  <si>
    <t>15/310:00–15/311:00</t>
  </si>
  <si>
    <t>1.0×1015</t>
  </si>
  <si>
    <t>30L</t>
  </si>
  <si>
    <t>15/311:00–15/316:00</t>
  </si>
  <si>
    <t>1.0×1014</t>
  </si>
  <si>
    <t>31L</t>
  </si>
  <si>
    <t>15/316:00–15/318:00</t>
  </si>
  <si>
    <t>20–120b</t>
  </si>
  <si>
    <t>32L</t>
  </si>
  <si>
    <t>15/318:00–15/320:00</t>
  </si>
  <si>
    <t>2.2×1015</t>
  </si>
  <si>
    <t>33L</t>
  </si>
  <si>
    <t>15/320:00–15/322:00</t>
  </si>
  <si>
    <t>34L</t>
  </si>
  <si>
    <t>15/322:00–15/323:00</t>
  </si>
  <si>
    <t>1.0×1016</t>
  </si>
  <si>
    <t>35L</t>
  </si>
  <si>
    <t>15/323:00–16/300:00</t>
  </si>
  <si>
    <t>36L</t>
  </si>
  <si>
    <t>16/300:00–16/301:00</t>
  </si>
  <si>
    <t>1.6×1015</t>
  </si>
  <si>
    <t>37O</t>
  </si>
  <si>
    <t>16/301:00–16/306:00</t>
  </si>
  <si>
    <t>2.0×1014</t>
  </si>
  <si>
    <t>38O</t>
  </si>
  <si>
    <t>16/306:00–16/309:00</t>
  </si>
  <si>
    <t>39L</t>
  </si>
  <si>
    <t>16/309:00–16/311:00</t>
  </si>
  <si>
    <t>2.8×1015</t>
  </si>
  <si>
    <t>40O</t>
  </si>
  <si>
    <t>16/311:00–16/312:00</t>
  </si>
  <si>
    <t>1.2×1014</t>
  </si>
  <si>
    <t>41O</t>
  </si>
  <si>
    <t>16/312:00–16/313:00</t>
  </si>
  <si>
    <t>1.5×1014</t>
  </si>
  <si>
    <t>42O</t>
  </si>
  <si>
    <t>16/313:00–16/314:00</t>
  </si>
  <si>
    <t>43O</t>
  </si>
  <si>
    <t>16/314:00–16/315:00</t>
  </si>
  <si>
    <t>44O</t>
  </si>
  <si>
    <t>16/315:00–17/306:00</t>
  </si>
  <si>
    <t>6.2×1014</t>
  </si>
  <si>
    <t>45O</t>
  </si>
  <si>
    <t>17/306:00–17/321:00</t>
  </si>
  <si>
    <t>46O</t>
  </si>
  <si>
    <t>17/321:00–18/300:00</t>
  </si>
  <si>
    <t>47O</t>
  </si>
  <si>
    <t>18/300:00–18/305:00</t>
  </si>
  <si>
    <t>2.1×1014</t>
  </si>
  <si>
    <t>48O</t>
  </si>
  <si>
    <t>18/305:00–18/308:00</t>
  </si>
  <si>
    <t>1.3×1015</t>
  </si>
  <si>
    <t>49O</t>
  </si>
  <si>
    <t>18/308:00–18/313:00</t>
  </si>
  <si>
    <t>1.8×1015</t>
  </si>
  <si>
    <t>50O</t>
  </si>
  <si>
    <t>18/313:00–18/318:00</t>
  </si>
  <si>
    <t>1.5×1015</t>
  </si>
  <si>
    <t>51O</t>
  </si>
  <si>
    <t>18/318:00–19/305:00</t>
  </si>
  <si>
    <t>1.4×1015</t>
  </si>
  <si>
    <t>52O</t>
  </si>
  <si>
    <t>19/305:00–19/315:00</t>
  </si>
  <si>
    <t>53L</t>
  </si>
  <si>
    <t>19/315:00–21/303:00</t>
  </si>
  <si>
    <t>1.6×1014</t>
  </si>
  <si>
    <t>54L</t>
  </si>
  <si>
    <t>21/303:00–21/308:00</t>
  </si>
  <si>
    <t>55L</t>
  </si>
  <si>
    <t>21/308:00–21/312:00</t>
  </si>
  <si>
    <t>4.2×1013</t>
  </si>
  <si>
    <t>0.125c</t>
  </si>
  <si>
    <t>56L</t>
  </si>
  <si>
    <t>21/312:00–21/316:00</t>
  </si>
  <si>
    <t>5.9×1013</t>
  </si>
  <si>
    <t>57L</t>
  </si>
  <si>
    <t>21/316:00–21/321:00</t>
  </si>
  <si>
    <t>58L</t>
  </si>
  <si>
    <t>21/321:00–22/323:00</t>
  </si>
  <si>
    <t>59L</t>
  </si>
  <si>
    <t>22/323:00–24/300:00</t>
  </si>
  <si>
    <t>60L</t>
  </si>
  <si>
    <t>24/300:00–25/300:00</t>
  </si>
  <si>
    <t>61L</t>
  </si>
  <si>
    <t>25/300:00–26/311:00</t>
  </si>
  <si>
    <t>4.1×1013</t>
  </si>
  <si>
    <t>62O</t>
  </si>
  <si>
    <t>26/311:00–28/310:00</t>
  </si>
  <si>
    <t>1.7×1013</t>
  </si>
  <si>
    <t>63O</t>
  </si>
  <si>
    <t>28/310:00–29/321:00</t>
  </si>
  <si>
    <t>3.9×1012</t>
  </si>
  <si>
    <t>64L</t>
  </si>
  <si>
    <t>29/321:00–30/311:00</t>
  </si>
  <si>
    <t>9.0×1012</t>
  </si>
  <si>
    <t>65L</t>
  </si>
  <si>
    <t>30/311:00–31/300:00</t>
  </si>
  <si>
    <t>66O</t>
  </si>
  <si>
    <t>31/300:00–31/322:00</t>
  </si>
  <si>
    <t>1.4×1013</t>
  </si>
  <si>
    <t>67O</t>
  </si>
  <si>
    <t>31/322:00–2/409:00</t>
  </si>
  <si>
    <t>9.2×1011</t>
  </si>
  <si>
    <t>68L</t>
  </si>
  <si>
    <t>2/409:00–4/409:00</t>
  </si>
  <si>
    <t>69L</t>
  </si>
  <si>
    <t>4/409:00–7/417:00</t>
  </si>
  <si>
    <t>70L</t>
  </si>
  <si>
    <t>7/417:00–13/423:00</t>
  </si>
  <si>
    <t>7.0×1011</t>
  </si>
  <si>
    <t>71L</t>
  </si>
  <si>
    <t>13/423:00–1/500:00</t>
  </si>
  <si>
    <t>Releaseperiod(Japanstandardtime)</t>
  </si>
  <si>
    <t>Release duration(h)</t>
  </si>
  <si>
    <t>Release rate of total 131I(Bqh-1)</t>
  </si>
  <si>
    <t>137Cs/total 131I</t>
  </si>
  <si>
    <t>Gaseous 131I/total 131I</t>
  </si>
  <si>
    <t>Release height/volume(m)</t>
  </si>
  <si>
    <t>time</t>
  </si>
  <si>
    <t>Release accumulated duration(h)</t>
  </si>
  <si>
    <t>131I</t>
  </si>
  <si>
    <t>137Cs</t>
  </si>
  <si>
    <t>03-12 05:00</t>
  </si>
  <si>
    <t>03-12 09:30</t>
  </si>
  <si>
    <t>03-12 14:00</t>
  </si>
  <si>
    <t>03-12 15:00</t>
  </si>
  <si>
    <t>100×100×100a</t>
  </si>
  <si>
    <t>03-12 15:30</t>
  </si>
  <si>
    <t>03-12 16:00</t>
  </si>
  <si>
    <t>03-12 22:00</t>
  </si>
  <si>
    <t>03-13 04:00</t>
  </si>
  <si>
    <t>03-13 09:00</t>
  </si>
  <si>
    <t>03-13 12:30</t>
  </si>
  <si>
    <t>03-13 15:00</t>
  </si>
  <si>
    <t>03-13 23:00</t>
  </si>
  <si>
    <t>03-14 02:30</t>
  </si>
  <si>
    <t>03-14 07:00</t>
  </si>
  <si>
    <t>03-14 11:00</t>
  </si>
  <si>
    <t>03-14 11:30</t>
  </si>
  <si>
    <t>03-14 18:00</t>
  </si>
  <si>
    <t>03-14 19:00</t>
  </si>
  <si>
    <t>03-14 20:00</t>
  </si>
  <si>
    <t>03-14 21:00</t>
  </si>
  <si>
    <t>03-14 22:00</t>
  </si>
  <si>
    <t>03-14 23:00</t>
  </si>
  <si>
    <t>03-15 00:00</t>
  </si>
  <si>
    <t>03-15 01:00</t>
  </si>
  <si>
    <t>03-15 02:00</t>
  </si>
  <si>
    <t>03-15 03:00</t>
  </si>
  <si>
    <t>03-15 04:00</t>
  </si>
  <si>
    <t>03-15 07:00</t>
  </si>
  <si>
    <t>03-15 10:00</t>
  </si>
  <si>
    <t>03-15 11:00</t>
  </si>
  <si>
    <t>03-15 16:00</t>
  </si>
  <si>
    <t>03-15 18:00</t>
  </si>
  <si>
    <t>03-15 20:00</t>
  </si>
  <si>
    <t>03-15 22:00</t>
  </si>
  <si>
    <t>03-15 23:00</t>
  </si>
  <si>
    <t>03-16 00:00</t>
  </si>
  <si>
    <t>03-16 01:00</t>
  </si>
  <si>
    <t>03-16 06:00</t>
  </si>
  <si>
    <t>03-16 09:00</t>
  </si>
  <si>
    <t>03-16 11:00</t>
  </si>
  <si>
    <t>03-16 12:00</t>
  </si>
  <si>
    <t>03-16 13:00</t>
  </si>
  <si>
    <t>03-16 14:00</t>
  </si>
  <si>
    <t>03-16 15:00</t>
  </si>
  <si>
    <t>03-17 06:00</t>
  </si>
  <si>
    <t>03-17 21:00</t>
  </si>
  <si>
    <t>03-18 00:00</t>
  </si>
  <si>
    <t>03-18 05:00</t>
  </si>
  <si>
    <t>03-18 08:00</t>
  </si>
  <si>
    <t>03-18 13:00</t>
  </si>
  <si>
    <t>03-18 18:00</t>
  </si>
  <si>
    <t>03-19 05:00</t>
  </si>
  <si>
    <t>03-19 15:00</t>
  </si>
  <si>
    <t>03-21 03:00</t>
  </si>
  <si>
    <t>03-21 08:00</t>
  </si>
  <si>
    <t>03-21 12:00</t>
  </si>
  <si>
    <t>03-21 16:00</t>
  </si>
  <si>
    <t>03-21 21:00</t>
  </si>
  <si>
    <t>03-22 23:00</t>
  </si>
  <si>
    <t>03-24 00:00</t>
  </si>
  <si>
    <t>03-25 00:00</t>
  </si>
  <si>
    <t>03-26 11:00</t>
  </si>
  <si>
    <t>03-28 10:00</t>
  </si>
  <si>
    <t>03-29 21:00</t>
  </si>
  <si>
    <t>03-30 11:00</t>
  </si>
  <si>
    <t>03-31 00:00</t>
  </si>
  <si>
    <t>03-31 22:00</t>
  </si>
  <si>
    <t>02/409:00–4/409:00</t>
  </si>
  <si>
    <t>04-02 09:00</t>
  </si>
  <si>
    <t>04/409:00–7/417:00</t>
  </si>
  <si>
    <t>04-04 09:00</t>
  </si>
  <si>
    <t>07/417:00–13/423:00</t>
  </si>
  <si>
    <t>04-07 17:00</t>
  </si>
  <si>
    <t>04-13 23:00</t>
  </si>
  <si>
    <t>05-01 00:00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</si>
</sst>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:ss;@"/>
    <numFmt numFmtId="177" formatCode="0.0_);[Red]\(0.0\)"/>
    <numFmt numFmtId="178" formatCode="0.00_);[Red]\(0.00\)"/>
    <numFmt numFmtId="179" formatCode="0.000_);[Red]\(0.000\)"/>
    <numFmt numFmtId="180" formatCode="yyyy/m/d;@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8">
    <xf numFmtId="0" fontId="0" fillId="0" borderId="0" xfId="0"/>
    <xf numFmtId="0" fontId="0" fillId="0" borderId="0" xfId="0" applyAlignment="1">
      <alignment vertical="center" wrapText="1"/>
    </xf>
    <xf numFmtId="176" fontId="1" fillId="0" borderId="0" xfId="0" applyNumberFormat="1" applyFont="1" applyFill="1" applyAlignment="1">
      <alignment vertical="center"/>
    </xf>
    <xf numFmtId="177" fontId="1" fillId="0" borderId="0" xfId="0" applyNumberFormat="1" applyFont="1" applyFill="1" applyAlignment="1">
      <alignment vertical="center"/>
    </xf>
    <xf numFmtId="178" fontId="1" fillId="0" borderId="0" xfId="0" applyNumberFormat="1" applyFont="1" applyFill="1" applyAlignment="1">
      <alignment vertical="center"/>
    </xf>
    <xf numFmtId="179" fontId="1" fillId="0" borderId="0" xfId="0" applyNumberFormat="1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NumberFormat="1" applyFont="1" applyFill="1" applyAlignment="1">
      <alignment vertical="center"/>
    </xf>
    <xf numFmtId="176" fontId="1" fillId="0" borderId="0" xfId="0" applyNumberFormat="1" applyFont="1" applyFill="1" applyAlignment="1">
      <alignment vertical="center" wrapText="1"/>
    </xf>
    <xf numFmtId="177" fontId="1" fillId="0" borderId="0" xfId="0" applyNumberFormat="1" applyFont="1" applyFill="1" applyAlignment="1">
      <alignment vertical="center" wrapText="1"/>
    </xf>
    <xf numFmtId="49" fontId="1" fillId="0" borderId="0" xfId="0" applyNumberFormat="1" applyFont="1" applyFill="1" applyAlignment="1">
      <alignment vertical="center" wrapText="1"/>
    </xf>
    <xf numFmtId="179" fontId="1" fillId="0" borderId="0" xfId="0" applyNumberFormat="1" applyFont="1" applyFill="1" applyAlignment="1">
      <alignment vertical="center" wrapText="1"/>
    </xf>
    <xf numFmtId="0" fontId="1" fillId="0" borderId="0" xfId="0" applyFont="1" applyFill="1" applyAlignment="1">
      <alignment vertical="center" wrapText="1"/>
    </xf>
    <xf numFmtId="49" fontId="1" fillId="0" borderId="0" xfId="0" applyNumberFormat="1" applyFont="1" applyFill="1" applyAlignment="1">
      <alignment vertical="center"/>
    </xf>
    <xf numFmtId="180" fontId="0" fillId="0" borderId="0" xfId="0" applyNumberFormat="1"/>
    <xf numFmtId="0" fontId="1" fillId="0" borderId="0" xfId="0" applyNumberFormat="1" applyFont="1" applyFill="1" applyAlignment="1">
      <alignment vertical="center" wrapText="1"/>
    </xf>
    <xf numFmtId="22" fontId="0" fillId="0" borderId="0" xfId="0" applyNumberFormat="1"/>
    <xf numFmtId="49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6"/>
  <sheetViews>
    <sheetView workbookViewId="0">
      <selection activeCell="D1" sqref="D$1:D$1048576"/>
    </sheetView>
  </sheetViews>
  <sheetFormatPr defaultColWidth="9" defaultRowHeight="14.25" outlineLevelCol="6"/>
  <cols>
    <col min="1" max="1" width="10.5" style="6" customWidth="1"/>
    <col min="2" max="2" width="20.875" style="2" customWidth="1"/>
    <col min="3" max="3" width="10.5" style="3" customWidth="1"/>
    <col min="4" max="7" width="10.5" style="6" customWidth="1"/>
    <col min="8" max="10" width="9" style="6"/>
  </cols>
  <sheetData>
    <row r="1" spans="1:7">
      <c r="A1" s="6" t="s">
        <v>0</v>
      </c>
      <c r="B1" s="2" t="s">
        <v>1</v>
      </c>
      <c r="C1" s="3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2:7">
      <c r="B2" s="2" t="s">
        <v>7</v>
      </c>
      <c r="C2" s="3" t="s">
        <v>8</v>
      </c>
      <c r="D2" s="6" t="s">
        <v>9</v>
      </c>
      <c r="E2" s="6" t="s">
        <v>10</v>
      </c>
      <c r="F2" s="6" t="s">
        <v>10</v>
      </c>
      <c r="G2" s="6" t="s">
        <v>11</v>
      </c>
    </row>
    <row r="3" spans="1:7">
      <c r="A3" s="6" t="s">
        <v>12</v>
      </c>
      <c r="B3" s="2" t="s">
        <v>13</v>
      </c>
      <c r="C3" s="3">
        <v>4.5</v>
      </c>
      <c r="D3" s="6" t="s">
        <v>14</v>
      </c>
      <c r="E3" s="6">
        <v>0.1</v>
      </c>
      <c r="F3" s="6">
        <v>0.5</v>
      </c>
      <c r="G3" s="6">
        <v>20</v>
      </c>
    </row>
    <row r="4" spans="1:7">
      <c r="A4" s="6" t="s">
        <v>15</v>
      </c>
      <c r="B4" s="2" t="s">
        <v>16</v>
      </c>
      <c r="C4" s="3">
        <v>4.5</v>
      </c>
      <c r="D4" s="6" t="s">
        <v>17</v>
      </c>
      <c r="E4" s="6">
        <v>0.1</v>
      </c>
      <c r="F4" s="6">
        <v>0.5</v>
      </c>
      <c r="G4" s="6">
        <v>20</v>
      </c>
    </row>
    <row r="5" spans="1:7">
      <c r="A5" s="6" t="s">
        <v>18</v>
      </c>
      <c r="B5" s="2" t="s">
        <v>19</v>
      </c>
      <c r="C5" s="3">
        <v>1</v>
      </c>
      <c r="D5" s="6" t="s">
        <v>20</v>
      </c>
      <c r="E5" s="6">
        <v>0.1</v>
      </c>
      <c r="F5" s="6">
        <v>0.5</v>
      </c>
      <c r="G5" s="6">
        <v>120</v>
      </c>
    </row>
    <row r="6" spans="1:7">
      <c r="A6" s="6" t="s">
        <v>21</v>
      </c>
      <c r="B6" s="2" t="s">
        <v>22</v>
      </c>
      <c r="C6" s="3">
        <v>0.5</v>
      </c>
      <c r="D6" s="6" t="s">
        <v>23</v>
      </c>
      <c r="E6" s="6">
        <v>0.1</v>
      </c>
      <c r="F6" s="6">
        <v>0.5</v>
      </c>
      <c r="G6" s="6">
        <v>20</v>
      </c>
    </row>
    <row r="7" spans="1:7">
      <c r="A7" s="6" t="s">
        <v>24</v>
      </c>
      <c r="B7" s="2" t="s">
        <v>25</v>
      </c>
      <c r="C7" s="3">
        <v>0.5</v>
      </c>
      <c r="D7" s="6" t="s">
        <v>26</v>
      </c>
      <c r="E7" s="6">
        <v>0.1</v>
      </c>
      <c r="F7" s="6">
        <v>0.5</v>
      </c>
      <c r="G7" s="6" t="s">
        <v>27</v>
      </c>
    </row>
    <row r="8" spans="1:7">
      <c r="A8" s="6" t="s">
        <v>28</v>
      </c>
      <c r="B8" s="2" t="s">
        <v>29</v>
      </c>
      <c r="C8" s="3">
        <v>6</v>
      </c>
      <c r="D8" s="6" t="s">
        <v>30</v>
      </c>
      <c r="E8" s="6">
        <v>0.1</v>
      </c>
      <c r="F8" s="6">
        <v>0.5</v>
      </c>
      <c r="G8" s="6" t="s">
        <v>31</v>
      </c>
    </row>
    <row r="9" spans="7:7">
      <c r="G9" s="6">
        <v>120</v>
      </c>
    </row>
    <row r="10" spans="1:7">
      <c r="A10" s="6" t="s">
        <v>32</v>
      </c>
      <c r="B10" s="2" t="s">
        <v>33</v>
      </c>
      <c r="C10" s="3">
        <v>6</v>
      </c>
      <c r="D10" s="6" t="s">
        <v>34</v>
      </c>
      <c r="E10" s="6">
        <v>0.1</v>
      </c>
      <c r="F10" s="6">
        <v>0.5</v>
      </c>
      <c r="G10" s="6">
        <v>120</v>
      </c>
    </row>
    <row r="11" spans="1:7">
      <c r="A11" s="6" t="s">
        <v>35</v>
      </c>
      <c r="B11" s="2" t="s">
        <v>36</v>
      </c>
      <c r="C11" s="3">
        <v>5</v>
      </c>
      <c r="D11" s="6" t="s">
        <v>37</v>
      </c>
      <c r="E11" s="6">
        <v>0.1</v>
      </c>
      <c r="F11" s="6">
        <v>0.5</v>
      </c>
      <c r="G11" s="6">
        <v>120</v>
      </c>
    </row>
    <row r="12" spans="1:7">
      <c r="A12" s="6" t="s">
        <v>38</v>
      </c>
      <c r="B12" s="2" t="s">
        <v>39</v>
      </c>
      <c r="C12" s="3">
        <v>3.5</v>
      </c>
      <c r="D12" s="6" t="s">
        <v>40</v>
      </c>
      <c r="E12" s="6">
        <v>0.1</v>
      </c>
      <c r="F12" s="6">
        <v>0.5</v>
      </c>
      <c r="G12" s="6">
        <v>120</v>
      </c>
    </row>
    <row r="13" spans="1:7">
      <c r="A13" s="6" t="s">
        <v>41</v>
      </c>
      <c r="B13" s="2" t="s">
        <v>42</v>
      </c>
      <c r="C13" s="3">
        <v>2.5</v>
      </c>
      <c r="D13" s="6" t="s">
        <v>43</v>
      </c>
      <c r="E13" s="6">
        <v>0.1</v>
      </c>
      <c r="F13" s="6">
        <v>0.5</v>
      </c>
      <c r="G13" s="6">
        <v>120</v>
      </c>
    </row>
    <row r="14" spans="1:7">
      <c r="A14" s="6" t="s">
        <v>44</v>
      </c>
      <c r="B14" s="2" t="s">
        <v>45</v>
      </c>
      <c r="C14" s="3">
        <v>8</v>
      </c>
      <c r="D14" s="6" t="s">
        <v>46</v>
      </c>
      <c r="E14" s="6">
        <v>0.1</v>
      </c>
      <c r="F14" s="6">
        <v>0.5</v>
      </c>
      <c r="G14" s="6">
        <v>120</v>
      </c>
    </row>
    <row r="15" spans="1:7">
      <c r="A15" s="6" t="s">
        <v>47</v>
      </c>
      <c r="B15" s="2" t="s">
        <v>48</v>
      </c>
      <c r="C15" s="3">
        <v>3.5</v>
      </c>
      <c r="D15" s="6" t="s">
        <v>49</v>
      </c>
      <c r="E15" s="6">
        <v>0.1</v>
      </c>
      <c r="F15" s="6">
        <v>0.5</v>
      </c>
      <c r="G15" s="6">
        <v>120</v>
      </c>
    </row>
    <row r="16" spans="1:7">
      <c r="A16" s="6" t="s">
        <v>50</v>
      </c>
      <c r="B16" s="2" t="s">
        <v>51</v>
      </c>
      <c r="C16" s="3">
        <v>4.5</v>
      </c>
      <c r="D16" s="6" t="s">
        <v>52</v>
      </c>
      <c r="E16" s="6">
        <v>0.1</v>
      </c>
      <c r="F16" s="6">
        <v>0.5</v>
      </c>
      <c r="G16" s="6">
        <v>120</v>
      </c>
    </row>
    <row r="17" spans="1:7">
      <c r="A17" s="6" t="s">
        <v>53</v>
      </c>
      <c r="B17" s="2" t="s">
        <v>54</v>
      </c>
      <c r="C17" s="3">
        <v>4</v>
      </c>
      <c r="D17" s="6" t="s">
        <v>55</v>
      </c>
      <c r="E17" s="6">
        <v>0.1</v>
      </c>
      <c r="F17" s="6">
        <v>0.5</v>
      </c>
      <c r="G17" s="6">
        <v>120</v>
      </c>
    </row>
    <row r="18" spans="1:7">
      <c r="A18" s="6" t="s">
        <v>56</v>
      </c>
      <c r="B18" s="2" t="s">
        <v>57</v>
      </c>
      <c r="C18" s="3">
        <v>0.5</v>
      </c>
      <c r="D18" s="6" t="s">
        <v>58</v>
      </c>
      <c r="E18" s="6">
        <v>0.1</v>
      </c>
      <c r="F18" s="6">
        <v>0.5</v>
      </c>
      <c r="G18" s="6" t="s">
        <v>59</v>
      </c>
    </row>
    <row r="19" spans="1:7">
      <c r="A19" s="6" t="s">
        <v>60</v>
      </c>
      <c r="B19" s="2" t="s">
        <v>61</v>
      </c>
      <c r="C19" s="3">
        <v>6.5</v>
      </c>
      <c r="D19" s="6" t="s">
        <v>62</v>
      </c>
      <c r="E19" s="6">
        <v>0.1</v>
      </c>
      <c r="F19" s="6">
        <v>0.5</v>
      </c>
      <c r="G19" s="6">
        <v>20</v>
      </c>
    </row>
    <row r="20" spans="1:7">
      <c r="A20" s="6" t="s">
        <v>63</v>
      </c>
      <c r="B20" s="2" t="s">
        <v>64</v>
      </c>
      <c r="C20" s="3">
        <v>1</v>
      </c>
      <c r="D20" s="6" t="s">
        <v>65</v>
      </c>
      <c r="E20" s="6">
        <v>0.1</v>
      </c>
      <c r="F20" s="6">
        <v>0.5</v>
      </c>
      <c r="G20" s="6">
        <v>20</v>
      </c>
    </row>
    <row r="21" spans="1:7">
      <c r="A21" s="6" t="s">
        <v>66</v>
      </c>
      <c r="B21" s="2" t="s">
        <v>67</v>
      </c>
      <c r="C21" s="3">
        <v>1</v>
      </c>
      <c r="D21" s="6" t="s">
        <v>68</v>
      </c>
      <c r="E21" s="6">
        <v>0.1</v>
      </c>
      <c r="F21" s="6">
        <v>0.5</v>
      </c>
      <c r="G21" s="6">
        <v>20</v>
      </c>
    </row>
    <row r="22" spans="1:7">
      <c r="A22" s="6" t="s">
        <v>69</v>
      </c>
      <c r="B22" s="2" t="s">
        <v>70</v>
      </c>
      <c r="C22" s="3">
        <v>1</v>
      </c>
      <c r="D22" s="6" t="s">
        <v>68</v>
      </c>
      <c r="E22" s="6">
        <v>0.1</v>
      </c>
      <c r="F22" s="6">
        <v>0.5</v>
      </c>
      <c r="G22" s="6">
        <v>20</v>
      </c>
    </row>
    <row r="23" spans="1:7">
      <c r="A23" s="6" t="s">
        <v>71</v>
      </c>
      <c r="B23" s="2" t="s">
        <v>72</v>
      </c>
      <c r="C23" s="3">
        <v>1</v>
      </c>
      <c r="D23" s="6" t="s">
        <v>73</v>
      </c>
      <c r="E23" s="6">
        <v>0.066</v>
      </c>
      <c r="F23" s="6">
        <v>0.5</v>
      </c>
      <c r="G23" s="6">
        <v>20</v>
      </c>
    </row>
    <row r="24" spans="1:7">
      <c r="A24" s="6" t="s">
        <v>74</v>
      </c>
      <c r="B24" s="2" t="s">
        <v>75</v>
      </c>
      <c r="C24" s="3">
        <v>1</v>
      </c>
      <c r="D24" s="6" t="s">
        <v>65</v>
      </c>
      <c r="E24" s="6">
        <v>0.1</v>
      </c>
      <c r="F24" s="6">
        <v>0.5</v>
      </c>
      <c r="G24" s="6">
        <v>20</v>
      </c>
    </row>
    <row r="25" spans="1:7">
      <c r="A25" s="6" t="s">
        <v>76</v>
      </c>
      <c r="B25" s="2" t="s">
        <v>77</v>
      </c>
      <c r="C25" s="3">
        <v>1</v>
      </c>
      <c r="D25" s="6" t="s">
        <v>78</v>
      </c>
      <c r="E25" s="6">
        <v>0.128</v>
      </c>
      <c r="F25" s="6">
        <v>0.5</v>
      </c>
      <c r="G25" s="6">
        <v>20</v>
      </c>
    </row>
    <row r="26" spans="1:7">
      <c r="A26" s="6" t="s">
        <v>79</v>
      </c>
      <c r="B26" s="2" t="s">
        <v>80</v>
      </c>
      <c r="C26" s="3">
        <v>1</v>
      </c>
      <c r="D26" s="6" t="s">
        <v>23</v>
      </c>
      <c r="E26" s="6">
        <v>0.1</v>
      </c>
      <c r="F26" s="6">
        <v>0.5</v>
      </c>
      <c r="G26" s="6">
        <v>20</v>
      </c>
    </row>
    <row r="27" spans="1:7">
      <c r="A27" s="6" t="s">
        <v>81</v>
      </c>
      <c r="B27" s="2" t="s">
        <v>82</v>
      </c>
      <c r="C27" s="3">
        <v>1</v>
      </c>
      <c r="D27" s="6" t="s">
        <v>83</v>
      </c>
      <c r="E27" s="6">
        <v>0.167</v>
      </c>
      <c r="F27" s="6">
        <v>0.5</v>
      </c>
      <c r="G27" s="6">
        <v>20</v>
      </c>
    </row>
    <row r="28" spans="1:7">
      <c r="A28" s="6" t="s">
        <v>84</v>
      </c>
      <c r="B28" s="2" t="s">
        <v>85</v>
      </c>
      <c r="C28" s="3">
        <v>1</v>
      </c>
      <c r="D28" s="6" t="s">
        <v>86</v>
      </c>
      <c r="E28" s="6">
        <v>0.095</v>
      </c>
      <c r="F28" s="6">
        <v>0.5</v>
      </c>
      <c r="G28" s="6">
        <v>20</v>
      </c>
    </row>
    <row r="29" spans="1:7">
      <c r="A29" s="6" t="s">
        <v>87</v>
      </c>
      <c r="B29" s="2" t="s">
        <v>88</v>
      </c>
      <c r="C29" s="3">
        <v>1</v>
      </c>
      <c r="D29" s="6" t="s">
        <v>89</v>
      </c>
      <c r="E29" s="6">
        <v>0.125</v>
      </c>
      <c r="F29" s="6">
        <v>0.5</v>
      </c>
      <c r="G29" s="6">
        <v>20</v>
      </c>
    </row>
    <row r="30" spans="1:7">
      <c r="A30" s="6" t="s">
        <v>90</v>
      </c>
      <c r="B30" s="2" t="s">
        <v>91</v>
      </c>
      <c r="C30" s="3">
        <v>3</v>
      </c>
      <c r="D30" s="6" t="s">
        <v>92</v>
      </c>
      <c r="E30" s="6">
        <v>0.1</v>
      </c>
      <c r="F30" s="6">
        <v>0.5</v>
      </c>
      <c r="G30" s="6">
        <v>20</v>
      </c>
    </row>
    <row r="31" spans="1:7">
      <c r="A31" s="6" t="s">
        <v>93</v>
      </c>
      <c r="B31" s="2" t="s">
        <v>94</v>
      </c>
      <c r="C31" s="3">
        <v>3</v>
      </c>
      <c r="D31" s="6" t="s">
        <v>95</v>
      </c>
      <c r="E31" s="6">
        <v>0.1</v>
      </c>
      <c r="F31" s="6">
        <v>0.5</v>
      </c>
      <c r="G31" s="6">
        <v>20</v>
      </c>
    </row>
    <row r="32" spans="1:7">
      <c r="A32" s="6" t="s">
        <v>96</v>
      </c>
      <c r="B32" s="2" t="s">
        <v>97</v>
      </c>
      <c r="C32" s="3">
        <v>1</v>
      </c>
      <c r="D32" s="6" t="s">
        <v>98</v>
      </c>
      <c r="E32" s="6">
        <v>0.1</v>
      </c>
      <c r="F32" s="6">
        <v>0.5</v>
      </c>
      <c r="G32" s="6">
        <v>20</v>
      </c>
    </row>
    <row r="33" spans="1:7">
      <c r="A33" s="6" t="s">
        <v>99</v>
      </c>
      <c r="B33" s="2" t="s">
        <v>100</v>
      </c>
      <c r="C33" s="3">
        <v>5</v>
      </c>
      <c r="D33" s="6" t="s">
        <v>101</v>
      </c>
      <c r="E33" s="6">
        <v>0.1</v>
      </c>
      <c r="F33" s="6">
        <v>0.5</v>
      </c>
      <c r="G33" s="6">
        <v>20</v>
      </c>
    </row>
    <row r="34" spans="1:7">
      <c r="A34" s="6" t="s">
        <v>102</v>
      </c>
      <c r="B34" s="2" t="s">
        <v>103</v>
      </c>
      <c r="C34" s="3">
        <v>2</v>
      </c>
      <c r="D34" s="6" t="s">
        <v>86</v>
      </c>
      <c r="E34" s="6">
        <v>0.1</v>
      </c>
      <c r="F34" s="6">
        <v>0.5</v>
      </c>
      <c r="G34" s="6" t="s">
        <v>104</v>
      </c>
    </row>
    <row r="35" spans="1:7">
      <c r="A35" s="6" t="s">
        <v>105</v>
      </c>
      <c r="B35" s="2" t="s">
        <v>106</v>
      </c>
      <c r="C35" s="3">
        <v>2</v>
      </c>
      <c r="D35" s="6" t="s">
        <v>107</v>
      </c>
      <c r="E35" s="6">
        <v>0.1</v>
      </c>
      <c r="F35" s="6">
        <v>0.5</v>
      </c>
      <c r="G35" s="6" t="s">
        <v>104</v>
      </c>
    </row>
    <row r="36" spans="1:7">
      <c r="A36" s="6" t="s">
        <v>108</v>
      </c>
      <c r="B36" s="2" t="s">
        <v>109</v>
      </c>
      <c r="C36" s="3">
        <v>2</v>
      </c>
      <c r="D36" s="6" t="s">
        <v>83</v>
      </c>
      <c r="E36" s="6">
        <v>0.033</v>
      </c>
      <c r="F36" s="6">
        <v>0.7</v>
      </c>
      <c r="G36" s="6" t="s">
        <v>104</v>
      </c>
    </row>
    <row r="37" spans="1:7">
      <c r="A37" s="6" t="s">
        <v>110</v>
      </c>
      <c r="B37" s="2" t="s">
        <v>111</v>
      </c>
      <c r="C37" s="3">
        <v>1</v>
      </c>
      <c r="D37" s="6" t="s">
        <v>112</v>
      </c>
      <c r="E37" s="6">
        <v>0.033</v>
      </c>
      <c r="F37" s="6">
        <v>0.7</v>
      </c>
      <c r="G37" s="6" t="s">
        <v>104</v>
      </c>
    </row>
    <row r="38" spans="1:7">
      <c r="A38" s="6" t="s">
        <v>113</v>
      </c>
      <c r="B38" s="2" t="s">
        <v>114</v>
      </c>
      <c r="C38" s="3">
        <v>1</v>
      </c>
      <c r="D38" s="6" t="s">
        <v>107</v>
      </c>
      <c r="E38" s="6">
        <v>0.033</v>
      </c>
      <c r="F38" s="6">
        <v>0.7</v>
      </c>
      <c r="G38" s="6" t="s">
        <v>104</v>
      </c>
    </row>
    <row r="39" spans="1:7">
      <c r="A39" s="6" t="s">
        <v>115</v>
      </c>
      <c r="B39" s="2" t="s">
        <v>116</v>
      </c>
      <c r="C39" s="3">
        <v>1</v>
      </c>
      <c r="D39" s="6" t="s">
        <v>117</v>
      </c>
      <c r="E39" s="6">
        <v>0.033</v>
      </c>
      <c r="F39" s="6">
        <v>0.7</v>
      </c>
      <c r="G39" s="6" t="s">
        <v>104</v>
      </c>
    </row>
    <row r="40" spans="1:7">
      <c r="A40" s="6" t="s">
        <v>118</v>
      </c>
      <c r="B40" s="2" t="s">
        <v>119</v>
      </c>
      <c r="C40" s="3">
        <v>5</v>
      </c>
      <c r="D40" s="6" t="s">
        <v>120</v>
      </c>
      <c r="E40" s="6">
        <v>0.033</v>
      </c>
      <c r="F40" s="6">
        <v>0.7</v>
      </c>
      <c r="G40" s="6" t="s">
        <v>104</v>
      </c>
    </row>
    <row r="41" spans="1:7">
      <c r="A41" s="6" t="s">
        <v>121</v>
      </c>
      <c r="B41" s="2" t="s">
        <v>122</v>
      </c>
      <c r="C41" s="3">
        <v>3</v>
      </c>
      <c r="D41" s="6" t="s">
        <v>120</v>
      </c>
      <c r="E41" s="6">
        <v>0.1</v>
      </c>
      <c r="F41" s="6">
        <v>0.5</v>
      </c>
      <c r="G41" s="6">
        <v>20</v>
      </c>
    </row>
    <row r="42" spans="1:7">
      <c r="A42" s="6" t="s">
        <v>123</v>
      </c>
      <c r="B42" s="2" t="s">
        <v>124</v>
      </c>
      <c r="C42" s="3">
        <v>2</v>
      </c>
      <c r="D42" s="6" t="s">
        <v>125</v>
      </c>
      <c r="E42" s="6">
        <v>0.1</v>
      </c>
      <c r="F42" s="6">
        <v>0.5</v>
      </c>
      <c r="G42" s="6">
        <v>20</v>
      </c>
    </row>
    <row r="43" spans="1:7">
      <c r="A43" s="6" t="s">
        <v>126</v>
      </c>
      <c r="B43" s="2" t="s">
        <v>127</v>
      </c>
      <c r="C43" s="3">
        <v>1</v>
      </c>
      <c r="D43" s="6" t="s">
        <v>128</v>
      </c>
      <c r="E43" s="6">
        <v>0.1</v>
      </c>
      <c r="F43" s="6">
        <v>0.5</v>
      </c>
      <c r="G43" s="6">
        <v>20</v>
      </c>
    </row>
    <row r="45" spans="1:7">
      <c r="A45" s="6" t="s">
        <v>129</v>
      </c>
      <c r="B45" s="2" t="s">
        <v>130</v>
      </c>
      <c r="C45" s="3">
        <v>1</v>
      </c>
      <c r="D45" s="6" t="s">
        <v>131</v>
      </c>
      <c r="E45" s="6">
        <v>0.1</v>
      </c>
      <c r="F45" s="6">
        <v>0.5</v>
      </c>
      <c r="G45" s="6">
        <v>20</v>
      </c>
    </row>
    <row r="46" spans="1:7">
      <c r="A46" s="6" t="s">
        <v>132</v>
      </c>
      <c r="B46" s="2" t="s">
        <v>133</v>
      </c>
      <c r="C46" s="3">
        <v>1</v>
      </c>
      <c r="D46" s="6" t="s">
        <v>89</v>
      </c>
      <c r="E46" s="6">
        <v>0.1</v>
      </c>
      <c r="F46" s="6">
        <v>0.5</v>
      </c>
      <c r="G46" s="6">
        <v>20</v>
      </c>
    </row>
    <row r="47" spans="1:7">
      <c r="A47" s="6" t="s">
        <v>134</v>
      </c>
      <c r="B47" s="2" t="s">
        <v>135</v>
      </c>
      <c r="C47" s="3">
        <v>1</v>
      </c>
      <c r="D47" s="6" t="s">
        <v>43</v>
      </c>
      <c r="E47" s="6">
        <v>0.1</v>
      </c>
      <c r="F47" s="6">
        <v>0.5</v>
      </c>
      <c r="G47" s="6">
        <v>20</v>
      </c>
    </row>
    <row r="48" spans="1:7">
      <c r="A48" s="6" t="s">
        <v>136</v>
      </c>
      <c r="B48" s="2" t="s">
        <v>137</v>
      </c>
      <c r="C48" s="3">
        <v>15</v>
      </c>
      <c r="D48" s="6" t="s">
        <v>138</v>
      </c>
      <c r="E48" s="6">
        <v>0.1</v>
      </c>
      <c r="F48" s="6">
        <v>0.5</v>
      </c>
      <c r="G48" s="6">
        <v>20</v>
      </c>
    </row>
    <row r="49" spans="1:7">
      <c r="A49" s="6" t="s">
        <v>139</v>
      </c>
      <c r="B49" s="2" t="s">
        <v>140</v>
      </c>
      <c r="C49" s="3">
        <v>15</v>
      </c>
      <c r="D49" s="6" t="s">
        <v>34</v>
      </c>
      <c r="E49" s="6">
        <v>0.1</v>
      </c>
      <c r="F49" s="6">
        <v>0.5</v>
      </c>
      <c r="G49" s="6">
        <v>20</v>
      </c>
    </row>
    <row r="50" spans="1:7">
      <c r="A50" s="6" t="s">
        <v>141</v>
      </c>
      <c r="B50" s="2" t="s">
        <v>142</v>
      </c>
      <c r="C50" s="3">
        <v>3</v>
      </c>
      <c r="D50" s="6" t="s">
        <v>46</v>
      </c>
      <c r="E50" s="6">
        <v>0.1</v>
      </c>
      <c r="F50" s="6">
        <v>0.5</v>
      </c>
      <c r="G50" s="6">
        <v>20</v>
      </c>
    </row>
    <row r="51" spans="1:7">
      <c r="A51" s="6" t="s">
        <v>143</v>
      </c>
      <c r="B51" s="2" t="s">
        <v>144</v>
      </c>
      <c r="C51" s="3">
        <v>5</v>
      </c>
      <c r="D51" s="6" t="s">
        <v>145</v>
      </c>
      <c r="E51" s="6">
        <v>0.1</v>
      </c>
      <c r="F51" s="6">
        <v>0.5</v>
      </c>
      <c r="G51" s="6">
        <v>20</v>
      </c>
    </row>
    <row r="52" spans="1:7">
      <c r="A52" s="6" t="s">
        <v>146</v>
      </c>
      <c r="B52" s="2" t="s">
        <v>147</v>
      </c>
      <c r="C52" s="3">
        <v>3</v>
      </c>
      <c r="D52" s="6" t="s">
        <v>148</v>
      </c>
      <c r="E52" s="6">
        <v>0.1</v>
      </c>
      <c r="F52" s="6">
        <v>0.5</v>
      </c>
      <c r="G52" s="6">
        <v>20</v>
      </c>
    </row>
    <row r="53" spans="1:7">
      <c r="A53" s="6" t="s">
        <v>149</v>
      </c>
      <c r="B53" s="2" t="s">
        <v>150</v>
      </c>
      <c r="C53" s="3">
        <v>5</v>
      </c>
      <c r="D53" s="6" t="s">
        <v>151</v>
      </c>
      <c r="E53" s="6">
        <v>0.1</v>
      </c>
      <c r="F53" s="6">
        <v>0.5</v>
      </c>
      <c r="G53" s="6">
        <v>20</v>
      </c>
    </row>
    <row r="54" spans="1:7">
      <c r="A54" s="6" t="s">
        <v>152</v>
      </c>
      <c r="B54" s="2" t="s">
        <v>153</v>
      </c>
      <c r="C54" s="3">
        <v>5</v>
      </c>
      <c r="D54" s="6" t="s">
        <v>154</v>
      </c>
      <c r="E54" s="6">
        <v>0.1</v>
      </c>
      <c r="F54" s="6">
        <v>0.5</v>
      </c>
      <c r="G54" s="6">
        <v>20</v>
      </c>
    </row>
    <row r="55" spans="1:7">
      <c r="A55" s="6" t="s">
        <v>155</v>
      </c>
      <c r="B55" s="2" t="s">
        <v>156</v>
      </c>
      <c r="C55" s="3">
        <v>11</v>
      </c>
      <c r="D55" s="6" t="s">
        <v>157</v>
      </c>
      <c r="E55" s="6">
        <v>0.1</v>
      </c>
      <c r="F55" s="6">
        <v>0.5</v>
      </c>
      <c r="G55" s="6">
        <v>20</v>
      </c>
    </row>
    <row r="56" spans="1:7">
      <c r="A56" s="6" t="s">
        <v>158</v>
      </c>
      <c r="B56" s="2" t="s">
        <v>159</v>
      </c>
      <c r="C56" s="3">
        <v>10</v>
      </c>
      <c r="D56" s="6" t="s">
        <v>148</v>
      </c>
      <c r="E56" s="6">
        <v>0.1</v>
      </c>
      <c r="F56" s="6">
        <v>0.5</v>
      </c>
      <c r="G56" s="6">
        <v>20</v>
      </c>
    </row>
    <row r="57" spans="1:7">
      <c r="A57" s="6" t="s">
        <v>160</v>
      </c>
      <c r="B57" s="2" t="s">
        <v>161</v>
      </c>
      <c r="C57" s="3">
        <v>36</v>
      </c>
      <c r="D57" s="6" t="s">
        <v>162</v>
      </c>
      <c r="E57" s="6">
        <v>0.192</v>
      </c>
      <c r="F57" s="6">
        <v>0.5</v>
      </c>
      <c r="G57" s="6">
        <v>20</v>
      </c>
    </row>
    <row r="58" spans="1:7">
      <c r="A58" s="6" t="s">
        <v>163</v>
      </c>
      <c r="B58" s="2" t="s">
        <v>164</v>
      </c>
      <c r="C58" s="3">
        <v>5</v>
      </c>
      <c r="D58" s="6" t="s">
        <v>30</v>
      </c>
      <c r="E58" s="6">
        <v>0.242</v>
      </c>
      <c r="F58" s="6">
        <v>0.486</v>
      </c>
      <c r="G58" s="6">
        <v>20</v>
      </c>
    </row>
    <row r="60" spans="1:7">
      <c r="A60" s="6" t="s">
        <v>165</v>
      </c>
      <c r="B60" s="2" t="s">
        <v>166</v>
      </c>
      <c r="C60" s="3">
        <v>4</v>
      </c>
      <c r="D60" s="6" t="s">
        <v>167</v>
      </c>
      <c r="E60" s="6" t="s">
        <v>168</v>
      </c>
      <c r="F60" s="6">
        <v>0.658</v>
      </c>
      <c r="G60" s="6">
        <v>20</v>
      </c>
    </row>
    <row r="61" spans="1:7">
      <c r="A61" s="6" t="s">
        <v>169</v>
      </c>
      <c r="B61" s="2" t="s">
        <v>170</v>
      </c>
      <c r="C61" s="3">
        <v>4</v>
      </c>
      <c r="D61" s="6" t="s">
        <v>171</v>
      </c>
      <c r="E61" s="6">
        <v>0.007</v>
      </c>
      <c r="F61" s="6">
        <v>0.594</v>
      </c>
      <c r="G61" s="6">
        <v>20</v>
      </c>
    </row>
    <row r="62" spans="1:7">
      <c r="A62" s="6" t="s">
        <v>172</v>
      </c>
      <c r="B62" s="2" t="s">
        <v>173</v>
      </c>
      <c r="C62" s="3">
        <v>5</v>
      </c>
      <c r="D62" s="6" t="s">
        <v>167</v>
      </c>
      <c r="E62" s="6" t="s">
        <v>168</v>
      </c>
      <c r="F62" s="6">
        <v>0.658</v>
      </c>
      <c r="G62" s="6">
        <v>20</v>
      </c>
    </row>
    <row r="63" spans="1:7">
      <c r="A63" s="6" t="s">
        <v>174</v>
      </c>
      <c r="B63" s="2" t="s">
        <v>175</v>
      </c>
      <c r="C63" s="3">
        <v>26</v>
      </c>
      <c r="D63" s="6" t="s">
        <v>162</v>
      </c>
      <c r="E63" s="6">
        <v>0.01</v>
      </c>
      <c r="F63" s="6">
        <v>0.671</v>
      </c>
      <c r="G63" s="6">
        <v>20</v>
      </c>
    </row>
    <row r="64" spans="1:7">
      <c r="A64" s="6" t="s">
        <v>176</v>
      </c>
      <c r="B64" s="2" t="s">
        <v>177</v>
      </c>
      <c r="C64" s="3">
        <v>25</v>
      </c>
      <c r="D64" s="6" t="s">
        <v>40</v>
      </c>
      <c r="E64" s="6">
        <v>0.013</v>
      </c>
      <c r="F64" s="6">
        <v>0.495</v>
      </c>
      <c r="G64" s="6">
        <v>20</v>
      </c>
    </row>
    <row r="65" spans="1:7">
      <c r="A65" s="6" t="s">
        <v>178</v>
      </c>
      <c r="B65" s="2" t="s">
        <v>179</v>
      </c>
      <c r="C65" s="3">
        <v>24</v>
      </c>
      <c r="D65" s="6" t="s">
        <v>62</v>
      </c>
      <c r="E65" s="6">
        <v>0.035</v>
      </c>
      <c r="F65" s="6">
        <v>0.605</v>
      </c>
      <c r="G65" s="6">
        <v>20</v>
      </c>
    </row>
    <row r="66" spans="1:7">
      <c r="A66" s="6" t="s">
        <v>180</v>
      </c>
      <c r="B66" s="2" t="s">
        <v>181</v>
      </c>
      <c r="C66" s="3">
        <v>35</v>
      </c>
      <c r="D66" s="6" t="s">
        <v>182</v>
      </c>
      <c r="E66" s="6">
        <v>0.054</v>
      </c>
      <c r="F66" s="6">
        <v>0.681</v>
      </c>
      <c r="G66" s="6">
        <v>20</v>
      </c>
    </row>
    <row r="67" spans="1:7">
      <c r="A67" s="6" t="s">
        <v>183</v>
      </c>
      <c r="B67" s="2" t="s">
        <v>184</v>
      </c>
      <c r="C67" s="3">
        <v>47</v>
      </c>
      <c r="D67" s="6" t="s">
        <v>185</v>
      </c>
      <c r="E67" s="6">
        <v>0.042</v>
      </c>
      <c r="F67" s="6">
        <v>0.901</v>
      </c>
      <c r="G67" s="6">
        <v>20</v>
      </c>
    </row>
    <row r="68" spans="1:7">
      <c r="A68" s="6" t="s">
        <v>186</v>
      </c>
      <c r="B68" s="2" t="s">
        <v>187</v>
      </c>
      <c r="C68" s="3">
        <v>35</v>
      </c>
      <c r="D68" s="6" t="s">
        <v>188</v>
      </c>
      <c r="E68" s="6">
        <v>0.781</v>
      </c>
      <c r="F68" s="6">
        <v>0.927</v>
      </c>
      <c r="G68" s="6">
        <v>20</v>
      </c>
    </row>
    <row r="69" spans="1:7">
      <c r="A69" s="6" t="s">
        <v>189</v>
      </c>
      <c r="B69" s="2" t="s">
        <v>190</v>
      </c>
      <c r="C69" s="3">
        <v>14</v>
      </c>
      <c r="D69" s="6" t="s">
        <v>191</v>
      </c>
      <c r="E69" s="6">
        <v>0.621</v>
      </c>
      <c r="F69" s="6">
        <v>0.544</v>
      </c>
      <c r="G69" s="6">
        <v>20</v>
      </c>
    </row>
    <row r="70" spans="1:7">
      <c r="A70" s="6" t="s">
        <v>192</v>
      </c>
      <c r="B70" s="2" t="s">
        <v>193</v>
      </c>
      <c r="C70" s="3">
        <v>13</v>
      </c>
      <c r="D70" s="6" t="s">
        <v>171</v>
      </c>
      <c r="E70" s="6">
        <v>0.833</v>
      </c>
      <c r="F70" s="6">
        <v>0.688</v>
      </c>
      <c r="G70" s="6">
        <v>20</v>
      </c>
    </row>
    <row r="71" spans="1:7">
      <c r="A71" s="6" t="s">
        <v>194</v>
      </c>
      <c r="B71" s="2" t="s">
        <v>195</v>
      </c>
      <c r="C71" s="3">
        <v>22</v>
      </c>
      <c r="D71" s="6" t="s">
        <v>196</v>
      </c>
      <c r="E71" s="6">
        <v>0.186</v>
      </c>
      <c r="F71" s="6">
        <v>0.707</v>
      </c>
      <c r="G71" s="6">
        <v>20</v>
      </c>
    </row>
    <row r="72" spans="1:7">
      <c r="A72" s="6" t="s">
        <v>197</v>
      </c>
      <c r="B72" s="2" t="s">
        <v>198</v>
      </c>
      <c r="C72" s="3">
        <v>35</v>
      </c>
      <c r="D72" s="6" t="s">
        <v>199</v>
      </c>
      <c r="E72" s="6">
        <v>0.97</v>
      </c>
      <c r="F72" s="6">
        <v>0.933</v>
      </c>
      <c r="G72" s="6">
        <v>20</v>
      </c>
    </row>
    <row r="73" spans="1:7">
      <c r="A73" s="6" t="s">
        <v>200</v>
      </c>
      <c r="B73" s="2" t="s">
        <v>201</v>
      </c>
      <c r="C73" s="3">
        <v>48</v>
      </c>
      <c r="D73" s="6" t="s">
        <v>68</v>
      </c>
      <c r="E73" s="6">
        <v>0.323</v>
      </c>
      <c r="F73" s="6">
        <v>0.894</v>
      </c>
      <c r="G73" s="6">
        <v>20</v>
      </c>
    </row>
    <row r="74" spans="1:7">
      <c r="A74" s="6" t="s">
        <v>202</v>
      </c>
      <c r="B74" s="2" t="s">
        <v>203</v>
      </c>
      <c r="C74" s="3">
        <v>80</v>
      </c>
      <c r="D74" s="6" t="s">
        <v>188</v>
      </c>
      <c r="E74" s="6">
        <v>0.204</v>
      </c>
      <c r="F74" s="6">
        <v>0.894</v>
      </c>
      <c r="G74" s="6">
        <v>20</v>
      </c>
    </row>
    <row r="75" spans="1:7">
      <c r="A75" s="6" t="s">
        <v>204</v>
      </c>
      <c r="B75" s="2" t="s">
        <v>205</v>
      </c>
      <c r="C75" s="3">
        <v>150</v>
      </c>
      <c r="D75" s="6" t="s">
        <v>206</v>
      </c>
      <c r="E75" s="6">
        <v>0.5</v>
      </c>
      <c r="F75" s="6">
        <v>0.948</v>
      </c>
      <c r="G75" s="6">
        <v>20</v>
      </c>
    </row>
    <row r="76" spans="1:7">
      <c r="A76" s="6" t="s">
        <v>207</v>
      </c>
      <c r="B76" s="2" t="s">
        <v>208</v>
      </c>
      <c r="C76" s="3">
        <v>409</v>
      </c>
      <c r="D76" s="6" t="s">
        <v>206</v>
      </c>
      <c r="E76" s="6">
        <v>0.257</v>
      </c>
      <c r="F76" s="6">
        <v>0.948</v>
      </c>
      <c r="G76" s="6">
        <v>20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3"/>
  <sheetViews>
    <sheetView tabSelected="1" workbookViewId="0">
      <selection activeCell="C1" sqref="C1"/>
    </sheetView>
  </sheetViews>
  <sheetFormatPr defaultColWidth="9" defaultRowHeight="14.25"/>
  <cols>
    <col min="1" max="1" width="28.75" style="2" customWidth="1"/>
    <col min="2" max="2" width="10.5" style="3" customWidth="1"/>
    <col min="3" max="3" width="10.5" style="4" customWidth="1"/>
    <col min="4" max="4" width="10.5" style="5" customWidth="1"/>
    <col min="5" max="5" width="10.5" style="6" customWidth="1"/>
    <col min="6" max="6" width="14.125" style="6" customWidth="1"/>
    <col min="7" max="7" width="18" customWidth="1"/>
    <col min="9" max="9" width="15.5" customWidth="1"/>
    <col min="10" max="10" width="10.5" style="3" customWidth="1"/>
    <col min="11" max="11" width="14.25" style="7" customWidth="1"/>
    <col min="13" max="13" width="11.5"/>
  </cols>
  <sheetData>
    <row r="1" s="1" customFormat="1" ht="42.75" spans="1:13">
      <c r="A1" s="8" t="s">
        <v>209</v>
      </c>
      <c r="B1" s="9" t="s">
        <v>210</v>
      </c>
      <c r="C1" s="10" t="s">
        <v>211</v>
      </c>
      <c r="D1" s="11" t="s">
        <v>212</v>
      </c>
      <c r="E1" s="12" t="s">
        <v>213</v>
      </c>
      <c r="F1" s="12" t="s">
        <v>214</v>
      </c>
      <c r="I1" s="1" t="s">
        <v>215</v>
      </c>
      <c r="J1" s="9" t="s">
        <v>210</v>
      </c>
      <c r="K1" s="15" t="s">
        <v>216</v>
      </c>
      <c r="L1" s="1" t="s">
        <v>217</v>
      </c>
      <c r="M1" s="1" t="s">
        <v>218</v>
      </c>
    </row>
    <row r="2" spans="1:13">
      <c r="A2" s="2" t="s">
        <v>13</v>
      </c>
      <c r="B2" s="3">
        <v>4.5</v>
      </c>
      <c r="C2" s="13" t="s">
        <v>14</v>
      </c>
      <c r="D2" s="5">
        <v>0.1</v>
      </c>
      <c r="E2" s="6">
        <v>0.5</v>
      </c>
      <c r="F2" s="6">
        <v>20</v>
      </c>
      <c r="G2" s="14" t="str">
        <f>TEXT(MID(A2,4,1)&amp;"-"&amp;LEFT(A2,2)&amp;" "&amp;MID(A2,5,5),"MM-DD hh:mm")</f>
        <v>03-12 05:00</v>
      </c>
      <c r="I2" s="16" t="s">
        <v>219</v>
      </c>
      <c r="J2" s="3">
        <v>4.5</v>
      </c>
      <c r="K2" s="7">
        <f>J2</f>
        <v>4.5</v>
      </c>
      <c r="L2">
        <v>58000000000000</v>
      </c>
      <c r="M2">
        <v>29000000000000</v>
      </c>
    </row>
    <row r="3" spans="1:13">
      <c r="A3" s="2" t="s">
        <v>16</v>
      </c>
      <c r="B3" s="3">
        <v>4.5</v>
      </c>
      <c r="C3" s="13" t="s">
        <v>17</v>
      </c>
      <c r="D3" s="5">
        <v>0.1</v>
      </c>
      <c r="E3" s="6">
        <v>0.5</v>
      </c>
      <c r="F3" s="6">
        <v>20</v>
      </c>
      <c r="G3" s="14" t="str">
        <f t="shared" ref="G3:G34" si="0">TEXT(MID(A3,4,1)&amp;"-"&amp;LEFT(A3,2)&amp;" "&amp;MID(A3,5,5),"MM-DD hh:mm")</f>
        <v>03-12 09:30</v>
      </c>
      <c r="I3" s="16" t="s">
        <v>220</v>
      </c>
      <c r="J3" s="3">
        <v>4.5</v>
      </c>
      <c r="K3" s="7">
        <f>K2+J3</f>
        <v>9</v>
      </c>
      <c r="L3">
        <v>27000000000000</v>
      </c>
      <c r="M3">
        <v>13500000000000</v>
      </c>
    </row>
    <row r="4" spans="1:13">
      <c r="A4" s="2" t="s">
        <v>19</v>
      </c>
      <c r="B4" s="3">
        <v>1</v>
      </c>
      <c r="C4" s="13" t="s">
        <v>20</v>
      </c>
      <c r="D4" s="5">
        <v>0.1</v>
      </c>
      <c r="E4" s="6">
        <v>0.5</v>
      </c>
      <c r="F4" s="6">
        <v>120</v>
      </c>
      <c r="G4" s="14" t="str">
        <f t="shared" si="0"/>
        <v>03-12 14:00</v>
      </c>
      <c r="I4" s="16" t="s">
        <v>221</v>
      </c>
      <c r="J4" s="3">
        <v>1</v>
      </c>
      <c r="K4" s="7">
        <f>K3+J4</f>
        <v>10</v>
      </c>
      <c r="L4">
        <v>2900000000000000</v>
      </c>
      <c r="M4">
        <v>1450000000000000</v>
      </c>
    </row>
    <row r="5" spans="1:13">
      <c r="A5" s="2" t="s">
        <v>22</v>
      </c>
      <c r="B5" s="3">
        <v>0.5</v>
      </c>
      <c r="C5" s="13" t="s">
        <v>23</v>
      </c>
      <c r="D5" s="5">
        <v>0.1</v>
      </c>
      <c r="E5" s="6">
        <v>0.5</v>
      </c>
      <c r="F5" s="6">
        <v>20</v>
      </c>
      <c r="G5" s="14" t="str">
        <f t="shared" si="0"/>
        <v>03-12 15:00</v>
      </c>
      <c r="I5" s="16" t="s">
        <v>222</v>
      </c>
      <c r="J5" s="3">
        <v>0.5</v>
      </c>
      <c r="K5" s="7">
        <f t="shared" ref="K5:K36" si="1">K4+J5</f>
        <v>10.5</v>
      </c>
      <c r="L5">
        <v>13000000000000</v>
      </c>
      <c r="M5">
        <v>6500000000000</v>
      </c>
    </row>
    <row r="6" spans="1:13">
      <c r="A6" s="2" t="s">
        <v>25</v>
      </c>
      <c r="B6" s="3">
        <v>0.5</v>
      </c>
      <c r="C6" s="13" t="s">
        <v>26</v>
      </c>
      <c r="D6" s="5">
        <v>0.1</v>
      </c>
      <c r="E6" s="6">
        <v>0.5</v>
      </c>
      <c r="F6" s="6" t="s">
        <v>223</v>
      </c>
      <c r="G6" s="14" t="str">
        <f t="shared" si="0"/>
        <v>03-12 15:30</v>
      </c>
      <c r="I6" s="16" t="s">
        <v>224</v>
      </c>
      <c r="J6" s="3">
        <v>0.5</v>
      </c>
      <c r="K6" s="7">
        <f t="shared" si="1"/>
        <v>11</v>
      </c>
      <c r="L6">
        <v>1.4e+16</v>
      </c>
      <c r="M6">
        <v>7000000000000000</v>
      </c>
    </row>
    <row r="7" spans="1:13">
      <c r="A7" s="2" t="s">
        <v>29</v>
      </c>
      <c r="B7" s="3">
        <v>6</v>
      </c>
      <c r="C7" s="13" t="s">
        <v>30</v>
      </c>
      <c r="D7" s="5">
        <v>0.1</v>
      </c>
      <c r="E7" s="6">
        <v>0.5</v>
      </c>
      <c r="F7" s="6">
        <v>120</v>
      </c>
      <c r="G7" s="14" t="str">
        <f t="shared" si="0"/>
        <v>03-12 16:00</v>
      </c>
      <c r="I7" s="16" t="s">
        <v>225</v>
      </c>
      <c r="J7" s="3">
        <v>6</v>
      </c>
      <c r="K7" s="7">
        <f t="shared" si="1"/>
        <v>17</v>
      </c>
      <c r="L7">
        <v>170000000000000</v>
      </c>
      <c r="M7">
        <v>85000000000000</v>
      </c>
    </row>
    <row r="8" spans="1:13">
      <c r="A8" s="2" t="s">
        <v>33</v>
      </c>
      <c r="B8" s="3">
        <v>6</v>
      </c>
      <c r="C8" s="13" t="s">
        <v>34</v>
      </c>
      <c r="D8" s="5">
        <v>0.1</v>
      </c>
      <c r="E8" s="6">
        <v>0.5</v>
      </c>
      <c r="F8" s="6">
        <v>120</v>
      </c>
      <c r="G8" s="14" t="str">
        <f t="shared" si="0"/>
        <v>03-12 22:00</v>
      </c>
      <c r="I8" s="16" t="s">
        <v>226</v>
      </c>
      <c r="J8" s="3">
        <v>6</v>
      </c>
      <c r="K8" s="7">
        <f t="shared" si="1"/>
        <v>23</v>
      </c>
      <c r="L8">
        <v>310000000000000</v>
      </c>
      <c r="M8">
        <v>155000000000000</v>
      </c>
    </row>
    <row r="9" spans="1:13">
      <c r="A9" s="2" t="s">
        <v>36</v>
      </c>
      <c r="B9" s="3">
        <v>5</v>
      </c>
      <c r="C9" s="13" t="s">
        <v>37</v>
      </c>
      <c r="D9" s="5">
        <v>0.1</v>
      </c>
      <c r="E9" s="6">
        <v>0.5</v>
      </c>
      <c r="F9" s="6">
        <v>120</v>
      </c>
      <c r="G9" s="14" t="str">
        <f t="shared" si="0"/>
        <v>03-13 04:00</v>
      </c>
      <c r="I9" s="16" t="s">
        <v>227</v>
      </c>
      <c r="J9" s="3">
        <v>5</v>
      </c>
      <c r="K9" s="7">
        <f t="shared" si="1"/>
        <v>28</v>
      </c>
      <c r="L9">
        <v>220000000000000</v>
      </c>
      <c r="M9">
        <v>110000000000000</v>
      </c>
    </row>
    <row r="10" spans="1:13">
      <c r="A10" s="2" t="s">
        <v>39</v>
      </c>
      <c r="B10" s="3">
        <v>3.5</v>
      </c>
      <c r="C10" s="13" t="s">
        <v>40</v>
      </c>
      <c r="D10" s="5">
        <v>0.1</v>
      </c>
      <c r="E10" s="6">
        <v>0.5</v>
      </c>
      <c r="F10" s="6">
        <v>120</v>
      </c>
      <c r="G10" s="14" t="str">
        <f t="shared" si="0"/>
        <v>03-13 09:00</v>
      </c>
      <c r="I10" s="16" t="s">
        <v>228</v>
      </c>
      <c r="J10" s="3">
        <v>3.5</v>
      </c>
      <c r="K10" s="7">
        <f t="shared" si="1"/>
        <v>31.5</v>
      </c>
      <c r="L10">
        <v>260000000000000</v>
      </c>
      <c r="M10">
        <v>130000000000000</v>
      </c>
    </row>
    <row r="11" spans="1:13">
      <c r="A11" s="2" t="s">
        <v>42</v>
      </c>
      <c r="B11" s="3">
        <v>2.5</v>
      </c>
      <c r="C11" s="13" t="s">
        <v>43</v>
      </c>
      <c r="D11" s="5">
        <v>0.1</v>
      </c>
      <c r="E11" s="6">
        <v>0.5</v>
      </c>
      <c r="F11" s="6">
        <v>120</v>
      </c>
      <c r="G11" s="14" t="str">
        <f t="shared" si="0"/>
        <v>03-13 12:30</v>
      </c>
      <c r="I11" s="16" t="s">
        <v>229</v>
      </c>
      <c r="J11" s="3">
        <v>2.5</v>
      </c>
      <c r="K11" s="7">
        <f t="shared" si="1"/>
        <v>34</v>
      </c>
      <c r="L11">
        <v>500000000000000</v>
      </c>
      <c r="M11">
        <v>250000000000000</v>
      </c>
    </row>
    <row r="12" spans="1:13">
      <c r="A12" s="2" t="s">
        <v>45</v>
      </c>
      <c r="B12" s="3">
        <v>8</v>
      </c>
      <c r="C12" s="13" t="s">
        <v>46</v>
      </c>
      <c r="D12" s="5">
        <v>0.1</v>
      </c>
      <c r="E12" s="6">
        <v>0.5</v>
      </c>
      <c r="F12" s="6">
        <v>120</v>
      </c>
      <c r="G12" s="14" t="str">
        <f t="shared" si="0"/>
        <v>03-13 15:00</v>
      </c>
      <c r="I12" s="16" t="s">
        <v>230</v>
      </c>
      <c r="J12" s="3">
        <v>8</v>
      </c>
      <c r="K12" s="7">
        <f t="shared" si="1"/>
        <v>42</v>
      </c>
      <c r="L12">
        <v>300000000000000</v>
      </c>
      <c r="M12">
        <v>150000000000000</v>
      </c>
    </row>
    <row r="13" spans="1:13">
      <c r="A13" s="2" t="s">
        <v>48</v>
      </c>
      <c r="B13" s="3">
        <v>3.5</v>
      </c>
      <c r="C13" s="13" t="s">
        <v>49</v>
      </c>
      <c r="D13" s="5">
        <v>0.1</v>
      </c>
      <c r="E13" s="6">
        <v>0.5</v>
      </c>
      <c r="F13" s="6">
        <v>120</v>
      </c>
      <c r="G13" s="14" t="str">
        <f t="shared" si="0"/>
        <v>03-13 23:00</v>
      </c>
      <c r="I13" s="16" t="s">
        <v>231</v>
      </c>
      <c r="J13" s="3">
        <v>3.5</v>
      </c>
      <c r="K13" s="7">
        <f t="shared" si="1"/>
        <v>45.5</v>
      </c>
      <c r="L13">
        <v>82000000000000</v>
      </c>
      <c r="M13">
        <v>41000000000000</v>
      </c>
    </row>
    <row r="14" spans="1:13">
      <c r="A14" s="2" t="s">
        <v>51</v>
      </c>
      <c r="B14" s="3">
        <v>4.5</v>
      </c>
      <c r="C14" s="13" t="s">
        <v>52</v>
      </c>
      <c r="D14" s="5">
        <v>0.1</v>
      </c>
      <c r="E14" s="6">
        <v>0.5</v>
      </c>
      <c r="F14" s="6">
        <v>120</v>
      </c>
      <c r="G14" s="14" t="str">
        <f t="shared" si="0"/>
        <v>03-14 02:30</v>
      </c>
      <c r="I14" s="16" t="s">
        <v>232</v>
      </c>
      <c r="J14" s="3">
        <v>4.5</v>
      </c>
      <c r="K14" s="7">
        <f t="shared" si="1"/>
        <v>50</v>
      </c>
      <c r="L14">
        <v>44000000000000</v>
      </c>
      <c r="M14">
        <v>22000000000000</v>
      </c>
    </row>
    <row r="15" spans="1:13">
      <c r="A15" s="2" t="s">
        <v>54</v>
      </c>
      <c r="B15" s="3">
        <v>4</v>
      </c>
      <c r="C15" s="13" t="s">
        <v>55</v>
      </c>
      <c r="D15" s="5">
        <v>0.1</v>
      </c>
      <c r="E15" s="6">
        <v>0.5</v>
      </c>
      <c r="F15" s="6">
        <v>120</v>
      </c>
      <c r="G15" s="14" t="str">
        <f t="shared" si="0"/>
        <v>03-14 07:00</v>
      </c>
      <c r="I15" s="16" t="s">
        <v>233</v>
      </c>
      <c r="J15" s="3">
        <v>4</v>
      </c>
      <c r="K15" s="7">
        <f t="shared" si="1"/>
        <v>54</v>
      </c>
      <c r="L15">
        <v>35000000000000</v>
      </c>
      <c r="M15">
        <v>17500000000000</v>
      </c>
    </row>
    <row r="16" spans="1:13">
      <c r="A16" s="2" t="s">
        <v>57</v>
      </c>
      <c r="B16" s="3">
        <v>0.5</v>
      </c>
      <c r="C16" s="13" t="s">
        <v>58</v>
      </c>
      <c r="D16" s="5">
        <v>0.1</v>
      </c>
      <c r="E16" s="6">
        <v>0.5</v>
      </c>
      <c r="F16" s="6" t="s">
        <v>59</v>
      </c>
      <c r="G16" s="14" t="str">
        <f t="shared" si="0"/>
        <v>03-14 11:00</v>
      </c>
      <c r="I16" s="16" t="s">
        <v>234</v>
      </c>
      <c r="J16" s="3">
        <v>0.5</v>
      </c>
      <c r="K16" s="7">
        <f t="shared" si="1"/>
        <v>54.5</v>
      </c>
      <c r="L16">
        <v>3700000000000000</v>
      </c>
      <c r="M16">
        <v>1850000000000000</v>
      </c>
    </row>
    <row r="17" spans="1:13">
      <c r="A17" s="2" t="s">
        <v>61</v>
      </c>
      <c r="B17" s="3">
        <v>6.5</v>
      </c>
      <c r="C17" s="13" t="s">
        <v>62</v>
      </c>
      <c r="D17" s="5">
        <v>0.1</v>
      </c>
      <c r="E17" s="6">
        <v>0.5</v>
      </c>
      <c r="F17" s="6">
        <v>20</v>
      </c>
      <c r="G17" s="14" t="str">
        <f t="shared" si="0"/>
        <v>03-14 11:30</v>
      </c>
      <c r="I17" s="16" t="s">
        <v>235</v>
      </c>
      <c r="J17" s="3">
        <v>6.5</v>
      </c>
      <c r="K17" s="7">
        <f t="shared" si="1"/>
        <v>61</v>
      </c>
      <c r="L17">
        <v>18000000000000</v>
      </c>
      <c r="M17">
        <v>9000000000000</v>
      </c>
    </row>
    <row r="18" spans="1:13">
      <c r="A18" s="2" t="s">
        <v>64</v>
      </c>
      <c r="B18" s="3">
        <v>1</v>
      </c>
      <c r="C18" s="13" t="s">
        <v>65</v>
      </c>
      <c r="D18" s="5">
        <v>0.1</v>
      </c>
      <c r="E18" s="6">
        <v>0.5</v>
      </c>
      <c r="F18" s="6">
        <v>20</v>
      </c>
      <c r="G18" s="14" t="str">
        <f t="shared" si="0"/>
        <v>03-14 18:00</v>
      </c>
      <c r="I18" s="16" t="s">
        <v>236</v>
      </c>
      <c r="J18" s="3">
        <v>1</v>
      </c>
      <c r="K18" s="7">
        <f t="shared" si="1"/>
        <v>62</v>
      </c>
      <c r="L18">
        <v>11000000000000</v>
      </c>
      <c r="M18">
        <v>5500000000000</v>
      </c>
    </row>
    <row r="19" spans="1:13">
      <c r="A19" s="2" t="s">
        <v>67</v>
      </c>
      <c r="B19" s="3">
        <v>1</v>
      </c>
      <c r="C19" s="13" t="s">
        <v>68</v>
      </c>
      <c r="D19" s="5">
        <v>0.1</v>
      </c>
      <c r="E19" s="6">
        <v>0.5</v>
      </c>
      <c r="F19" s="6">
        <v>20</v>
      </c>
      <c r="G19" s="14" t="str">
        <f t="shared" si="0"/>
        <v>03-14 19:00</v>
      </c>
      <c r="I19" s="16" t="s">
        <v>237</v>
      </c>
      <c r="J19" s="3">
        <v>1</v>
      </c>
      <c r="K19" s="7">
        <f t="shared" si="1"/>
        <v>63</v>
      </c>
      <c r="L19">
        <v>10000000000000</v>
      </c>
      <c r="M19">
        <v>5000000000000</v>
      </c>
    </row>
    <row r="20" spans="1:13">
      <c r="A20" s="2" t="s">
        <v>70</v>
      </c>
      <c r="B20" s="3">
        <v>1</v>
      </c>
      <c r="C20" s="13" t="s">
        <v>68</v>
      </c>
      <c r="D20" s="5">
        <v>0.1</v>
      </c>
      <c r="E20" s="6">
        <v>0.5</v>
      </c>
      <c r="F20" s="6">
        <v>20</v>
      </c>
      <c r="G20" s="14" t="str">
        <f t="shared" si="0"/>
        <v>03-14 20:00</v>
      </c>
      <c r="I20" s="16" t="s">
        <v>238</v>
      </c>
      <c r="J20" s="3">
        <v>1</v>
      </c>
      <c r="K20" s="7">
        <f t="shared" si="1"/>
        <v>64</v>
      </c>
      <c r="L20">
        <v>10000000000000</v>
      </c>
      <c r="M20">
        <v>5000000000000</v>
      </c>
    </row>
    <row r="21" spans="1:13">
      <c r="A21" s="2" t="s">
        <v>72</v>
      </c>
      <c r="B21" s="3">
        <v>1</v>
      </c>
      <c r="C21" s="13" t="s">
        <v>73</v>
      </c>
      <c r="D21" s="5">
        <v>0.066</v>
      </c>
      <c r="E21" s="6">
        <v>0.5</v>
      </c>
      <c r="F21" s="6">
        <v>20</v>
      </c>
      <c r="G21" s="14" t="str">
        <f t="shared" si="0"/>
        <v>03-14 21:00</v>
      </c>
      <c r="I21" s="16" t="s">
        <v>239</v>
      </c>
      <c r="J21" s="3">
        <v>1</v>
      </c>
      <c r="K21" s="7">
        <f t="shared" si="1"/>
        <v>65</v>
      </c>
      <c r="L21">
        <v>240000000000000</v>
      </c>
      <c r="M21">
        <v>120000000000000</v>
      </c>
    </row>
    <row r="22" spans="1:13">
      <c r="A22" s="2" t="s">
        <v>75</v>
      </c>
      <c r="B22" s="3">
        <v>1</v>
      </c>
      <c r="C22" s="13" t="s">
        <v>65</v>
      </c>
      <c r="D22" s="5">
        <v>0.1</v>
      </c>
      <c r="E22" s="6">
        <v>0.5</v>
      </c>
      <c r="F22" s="6">
        <v>20</v>
      </c>
      <c r="G22" s="14" t="str">
        <f t="shared" si="0"/>
        <v>03-14 22:00</v>
      </c>
      <c r="I22" s="16" t="s">
        <v>240</v>
      </c>
      <c r="J22" s="3">
        <v>1</v>
      </c>
      <c r="K22" s="7">
        <f t="shared" si="1"/>
        <v>66</v>
      </c>
      <c r="L22">
        <v>11000000000000</v>
      </c>
      <c r="M22">
        <v>5500000000000</v>
      </c>
    </row>
    <row r="23" spans="1:13">
      <c r="A23" s="2" t="s">
        <v>77</v>
      </c>
      <c r="B23" s="3">
        <v>1</v>
      </c>
      <c r="C23" s="13" t="s">
        <v>78</v>
      </c>
      <c r="D23" s="5">
        <v>0.128</v>
      </c>
      <c r="E23" s="6">
        <v>0.5</v>
      </c>
      <c r="F23" s="6">
        <v>20</v>
      </c>
      <c r="G23" s="14" t="str">
        <f t="shared" si="0"/>
        <v>03-14 23:00</v>
      </c>
      <c r="I23" s="16" t="s">
        <v>241</v>
      </c>
      <c r="J23" s="3">
        <v>1</v>
      </c>
      <c r="K23" s="7">
        <f t="shared" si="1"/>
        <v>67</v>
      </c>
      <c r="L23">
        <v>540000000000000</v>
      </c>
      <c r="M23">
        <v>270000000000000</v>
      </c>
    </row>
    <row r="24" spans="1:13">
      <c r="A24" s="2" t="s">
        <v>80</v>
      </c>
      <c r="B24" s="3">
        <v>1</v>
      </c>
      <c r="C24" s="13" t="s">
        <v>23</v>
      </c>
      <c r="D24" s="5">
        <v>0.1</v>
      </c>
      <c r="E24" s="6">
        <v>0.5</v>
      </c>
      <c r="F24" s="6">
        <v>20</v>
      </c>
      <c r="G24" s="14" t="str">
        <f t="shared" si="0"/>
        <v>03-15 00:00</v>
      </c>
      <c r="I24" s="16" t="s">
        <v>242</v>
      </c>
      <c r="J24" s="3">
        <v>1</v>
      </c>
      <c r="K24" s="7">
        <f t="shared" si="1"/>
        <v>68</v>
      </c>
      <c r="L24">
        <v>13000000000000</v>
      </c>
      <c r="M24">
        <v>6500000000000</v>
      </c>
    </row>
    <row r="25" spans="1:13">
      <c r="A25" s="2" t="s">
        <v>82</v>
      </c>
      <c r="B25" s="3">
        <v>1</v>
      </c>
      <c r="C25" s="13" t="s">
        <v>83</v>
      </c>
      <c r="D25" s="5">
        <v>0.167</v>
      </c>
      <c r="E25" s="6">
        <v>0.5</v>
      </c>
      <c r="F25" s="6">
        <v>20</v>
      </c>
      <c r="G25" s="14" t="str">
        <f t="shared" si="0"/>
        <v>03-15 01:00</v>
      </c>
      <c r="I25" s="16" t="s">
        <v>243</v>
      </c>
      <c r="J25" s="3">
        <v>1</v>
      </c>
      <c r="K25" s="7">
        <f t="shared" si="1"/>
        <v>69</v>
      </c>
      <c r="L25">
        <v>2300000000000000</v>
      </c>
      <c r="M25">
        <v>1150000000000000</v>
      </c>
    </row>
    <row r="26" spans="1:13">
      <c r="A26" s="2" t="s">
        <v>85</v>
      </c>
      <c r="B26" s="3">
        <v>1</v>
      </c>
      <c r="C26" s="13" t="s">
        <v>86</v>
      </c>
      <c r="D26" s="5">
        <v>0.095</v>
      </c>
      <c r="E26" s="6">
        <v>0.5</v>
      </c>
      <c r="F26" s="6">
        <v>20</v>
      </c>
      <c r="G26" s="14" t="str">
        <f t="shared" si="0"/>
        <v>03-15 02:00</v>
      </c>
      <c r="I26" s="16" t="s">
        <v>244</v>
      </c>
      <c r="J26" s="3">
        <v>1</v>
      </c>
      <c r="K26" s="7">
        <f t="shared" si="1"/>
        <v>70</v>
      </c>
      <c r="L26">
        <v>330000000000000</v>
      </c>
      <c r="M26">
        <v>165000000000000</v>
      </c>
    </row>
    <row r="27" spans="1:13">
      <c r="A27" s="2" t="s">
        <v>88</v>
      </c>
      <c r="B27" s="3">
        <v>1</v>
      </c>
      <c r="C27" s="13" t="s">
        <v>89</v>
      </c>
      <c r="D27" s="5">
        <v>0.125</v>
      </c>
      <c r="E27" s="6">
        <v>0.5</v>
      </c>
      <c r="F27" s="6">
        <v>20</v>
      </c>
      <c r="G27" s="14" t="str">
        <f t="shared" si="0"/>
        <v>03-15 03:00</v>
      </c>
      <c r="I27" s="16" t="s">
        <v>245</v>
      </c>
      <c r="J27" s="3">
        <v>1</v>
      </c>
      <c r="K27" s="7">
        <f t="shared" si="1"/>
        <v>71</v>
      </c>
      <c r="L27">
        <v>290000000000000</v>
      </c>
      <c r="M27">
        <v>145000000000000</v>
      </c>
    </row>
    <row r="28" spans="1:13">
      <c r="A28" s="2" t="s">
        <v>91</v>
      </c>
      <c r="B28" s="3">
        <v>3</v>
      </c>
      <c r="C28" s="13" t="s">
        <v>92</v>
      </c>
      <c r="D28" s="5">
        <v>0.1</v>
      </c>
      <c r="E28" s="6">
        <v>0.5</v>
      </c>
      <c r="F28" s="6">
        <v>20</v>
      </c>
      <c r="G28" s="14" t="str">
        <f t="shared" si="0"/>
        <v>03-15 04:00</v>
      </c>
      <c r="I28" s="16" t="s">
        <v>246</v>
      </c>
      <c r="J28" s="3">
        <v>3</v>
      </c>
      <c r="K28" s="7">
        <f t="shared" si="1"/>
        <v>74</v>
      </c>
      <c r="L28">
        <v>130000000000000</v>
      </c>
      <c r="M28">
        <v>65000000000000</v>
      </c>
    </row>
    <row r="29" spans="1:13">
      <c r="A29" s="2" t="s">
        <v>94</v>
      </c>
      <c r="B29" s="3">
        <v>3</v>
      </c>
      <c r="C29" s="13" t="s">
        <v>95</v>
      </c>
      <c r="D29" s="5">
        <v>0.1</v>
      </c>
      <c r="E29" s="6">
        <v>0.5</v>
      </c>
      <c r="F29" s="6">
        <v>20</v>
      </c>
      <c r="G29" s="14" t="str">
        <f t="shared" si="0"/>
        <v>03-15 07:00</v>
      </c>
      <c r="I29" s="16" t="s">
        <v>247</v>
      </c>
      <c r="J29" s="3">
        <v>3</v>
      </c>
      <c r="K29" s="7">
        <f t="shared" si="1"/>
        <v>77</v>
      </c>
      <c r="L29">
        <v>1200000000000000</v>
      </c>
      <c r="M29">
        <v>600000000000000</v>
      </c>
    </row>
    <row r="30" spans="1:13">
      <c r="A30" s="2" t="s">
        <v>97</v>
      </c>
      <c r="B30" s="3">
        <v>1</v>
      </c>
      <c r="C30" s="13" t="s">
        <v>98</v>
      </c>
      <c r="D30" s="5">
        <v>0.1</v>
      </c>
      <c r="E30" s="6">
        <v>0.5</v>
      </c>
      <c r="F30" s="6">
        <v>20</v>
      </c>
      <c r="G30" s="14" t="str">
        <f t="shared" si="0"/>
        <v>03-15 10:00</v>
      </c>
      <c r="I30" s="16" t="s">
        <v>248</v>
      </c>
      <c r="J30" s="3">
        <v>1</v>
      </c>
      <c r="K30" s="7">
        <f t="shared" si="1"/>
        <v>78</v>
      </c>
      <c r="L30">
        <v>1000000000000000</v>
      </c>
      <c r="M30">
        <v>500000000000000</v>
      </c>
    </row>
    <row r="31" spans="1:13">
      <c r="A31" s="2" t="s">
        <v>100</v>
      </c>
      <c r="B31" s="3">
        <v>5</v>
      </c>
      <c r="C31" s="13" t="s">
        <v>101</v>
      </c>
      <c r="D31" s="5">
        <v>0.1</v>
      </c>
      <c r="E31" s="6">
        <v>0.5</v>
      </c>
      <c r="F31" s="6">
        <v>20</v>
      </c>
      <c r="G31" s="14" t="str">
        <f t="shared" si="0"/>
        <v>03-15 11:00</v>
      </c>
      <c r="I31" s="16" t="s">
        <v>249</v>
      </c>
      <c r="J31" s="3">
        <v>5</v>
      </c>
      <c r="K31" s="7">
        <f t="shared" si="1"/>
        <v>83</v>
      </c>
      <c r="L31">
        <v>100000000000000</v>
      </c>
      <c r="M31">
        <v>50000000000000</v>
      </c>
    </row>
    <row r="32" spans="1:13">
      <c r="A32" s="2" t="s">
        <v>103</v>
      </c>
      <c r="B32" s="3">
        <v>2</v>
      </c>
      <c r="C32" s="13" t="s">
        <v>86</v>
      </c>
      <c r="D32" s="5">
        <v>0.1</v>
      </c>
      <c r="E32" s="6">
        <v>0.5</v>
      </c>
      <c r="F32" s="6" t="s">
        <v>104</v>
      </c>
      <c r="G32" s="14" t="str">
        <f t="shared" si="0"/>
        <v>03-15 16:00</v>
      </c>
      <c r="I32" s="16" t="s">
        <v>250</v>
      </c>
      <c r="J32" s="3">
        <v>2</v>
      </c>
      <c r="K32" s="7">
        <f t="shared" si="1"/>
        <v>85</v>
      </c>
      <c r="L32">
        <v>330000000000000</v>
      </c>
      <c r="M32">
        <v>165000000000000</v>
      </c>
    </row>
    <row r="33" spans="1:13">
      <c r="A33" s="2" t="s">
        <v>106</v>
      </c>
      <c r="B33" s="3">
        <v>2</v>
      </c>
      <c r="C33" s="13" t="s">
        <v>107</v>
      </c>
      <c r="D33" s="5">
        <v>0.1</v>
      </c>
      <c r="E33" s="6">
        <v>0.5</v>
      </c>
      <c r="F33" s="6" t="s">
        <v>104</v>
      </c>
      <c r="G33" s="14" t="str">
        <f t="shared" si="0"/>
        <v>03-15 18:00</v>
      </c>
      <c r="I33" s="16" t="s">
        <v>251</v>
      </c>
      <c r="J33" s="3">
        <v>2</v>
      </c>
      <c r="K33" s="7">
        <f t="shared" si="1"/>
        <v>87</v>
      </c>
      <c r="L33">
        <v>2200000000000000</v>
      </c>
      <c r="M33">
        <v>1100000000000000</v>
      </c>
    </row>
    <row r="34" spans="1:13">
      <c r="A34" s="2" t="s">
        <v>109</v>
      </c>
      <c r="B34" s="3">
        <v>2</v>
      </c>
      <c r="C34" s="13" t="s">
        <v>83</v>
      </c>
      <c r="D34" s="5">
        <v>0.033</v>
      </c>
      <c r="E34" s="6">
        <v>0.7</v>
      </c>
      <c r="F34" s="6" t="s">
        <v>104</v>
      </c>
      <c r="G34" s="14" t="str">
        <f t="shared" si="0"/>
        <v>03-15 20:00</v>
      </c>
      <c r="I34" s="16" t="s">
        <v>252</v>
      </c>
      <c r="J34" s="3">
        <v>2</v>
      </c>
      <c r="K34" s="7">
        <f t="shared" si="1"/>
        <v>89</v>
      </c>
      <c r="L34">
        <v>2300000000000000</v>
      </c>
      <c r="M34">
        <v>1610000000000000</v>
      </c>
    </row>
    <row r="35" spans="1:13">
      <c r="A35" s="2" t="s">
        <v>111</v>
      </c>
      <c r="B35" s="3">
        <v>1</v>
      </c>
      <c r="C35" s="13" t="s">
        <v>112</v>
      </c>
      <c r="D35" s="5">
        <v>0.033</v>
      </c>
      <c r="E35" s="6">
        <v>0.7</v>
      </c>
      <c r="F35" s="6" t="s">
        <v>104</v>
      </c>
      <c r="G35" s="14" t="str">
        <f t="shared" ref="G35:G66" si="2">TEXT(MID(A35,4,1)&amp;"-"&amp;LEFT(A35,2)&amp;" "&amp;MID(A35,5,5),"MM-DD hh:mm")</f>
        <v>03-15 22:00</v>
      </c>
      <c r="I35" s="16" t="s">
        <v>253</v>
      </c>
      <c r="J35" s="3">
        <v>1</v>
      </c>
      <c r="K35" s="7">
        <f t="shared" si="1"/>
        <v>90</v>
      </c>
      <c r="L35">
        <v>1e+16</v>
      </c>
      <c r="M35">
        <v>7000000000000000</v>
      </c>
    </row>
    <row r="36" spans="1:13">
      <c r="A36" s="2" t="s">
        <v>114</v>
      </c>
      <c r="B36" s="3">
        <v>1</v>
      </c>
      <c r="C36" s="13" t="s">
        <v>107</v>
      </c>
      <c r="D36" s="5">
        <v>0.033</v>
      </c>
      <c r="E36" s="6">
        <v>0.7</v>
      </c>
      <c r="F36" s="6" t="s">
        <v>104</v>
      </c>
      <c r="G36" s="14" t="str">
        <f t="shared" si="2"/>
        <v>03-15 23:00</v>
      </c>
      <c r="I36" s="16" t="s">
        <v>254</v>
      </c>
      <c r="J36" s="3">
        <v>1</v>
      </c>
      <c r="K36" s="7">
        <f t="shared" si="1"/>
        <v>91</v>
      </c>
      <c r="L36">
        <v>2200000000000000</v>
      </c>
      <c r="M36">
        <v>1540000000000000</v>
      </c>
    </row>
    <row r="37" spans="1:13">
      <c r="A37" s="2" t="s">
        <v>116</v>
      </c>
      <c r="B37" s="3">
        <v>1</v>
      </c>
      <c r="C37" s="13" t="s">
        <v>117</v>
      </c>
      <c r="D37" s="5">
        <v>0.033</v>
      </c>
      <c r="E37" s="6">
        <v>0.7</v>
      </c>
      <c r="F37" s="6" t="s">
        <v>104</v>
      </c>
      <c r="G37" s="14" t="str">
        <f t="shared" si="2"/>
        <v>03-16 00:00</v>
      </c>
      <c r="I37" s="16" t="s">
        <v>255</v>
      </c>
      <c r="J37" s="3">
        <v>1</v>
      </c>
      <c r="K37" s="7">
        <f t="shared" ref="K37:K68" si="3">K36+J37</f>
        <v>92</v>
      </c>
      <c r="L37">
        <v>1600000000000000</v>
      </c>
      <c r="M37">
        <v>1120000000000000</v>
      </c>
    </row>
    <row r="38" spans="1:13">
      <c r="A38" s="2" t="s">
        <v>119</v>
      </c>
      <c r="B38" s="3">
        <v>5</v>
      </c>
      <c r="C38" s="13" t="s">
        <v>120</v>
      </c>
      <c r="D38" s="5">
        <v>0.033</v>
      </c>
      <c r="E38" s="6">
        <v>0.7</v>
      </c>
      <c r="F38" s="6" t="s">
        <v>104</v>
      </c>
      <c r="G38" s="14" t="str">
        <f t="shared" si="2"/>
        <v>03-16 01:00</v>
      </c>
      <c r="I38" s="16" t="s">
        <v>256</v>
      </c>
      <c r="J38" s="3">
        <v>5</v>
      </c>
      <c r="K38" s="7">
        <f t="shared" si="3"/>
        <v>97</v>
      </c>
      <c r="L38">
        <v>200000000000000</v>
      </c>
      <c r="M38">
        <v>140000000000000</v>
      </c>
    </row>
    <row r="39" spans="1:13">
      <c r="A39" s="2" t="s">
        <v>122</v>
      </c>
      <c r="B39" s="3">
        <v>3</v>
      </c>
      <c r="C39" s="13" t="s">
        <v>120</v>
      </c>
      <c r="D39" s="5">
        <v>0.1</v>
      </c>
      <c r="E39" s="6">
        <v>0.5</v>
      </c>
      <c r="F39" s="6">
        <v>20</v>
      </c>
      <c r="G39" s="14" t="str">
        <f t="shared" si="2"/>
        <v>03-16 06:00</v>
      </c>
      <c r="I39" s="16" t="s">
        <v>257</v>
      </c>
      <c r="J39" s="3">
        <v>3</v>
      </c>
      <c r="K39" s="7">
        <f t="shared" si="3"/>
        <v>100</v>
      </c>
      <c r="L39">
        <v>200000000000000</v>
      </c>
      <c r="M39">
        <v>100000000000000</v>
      </c>
    </row>
    <row r="40" spans="1:13">
      <c r="A40" s="2" t="s">
        <v>124</v>
      </c>
      <c r="B40" s="3">
        <v>2</v>
      </c>
      <c r="C40" s="13" t="s">
        <v>125</v>
      </c>
      <c r="D40" s="5">
        <v>0.1</v>
      </c>
      <c r="E40" s="6">
        <v>0.5</v>
      </c>
      <c r="F40" s="6">
        <v>20</v>
      </c>
      <c r="G40" s="14" t="str">
        <f t="shared" si="2"/>
        <v>03-16 09:00</v>
      </c>
      <c r="I40" s="16" t="s">
        <v>258</v>
      </c>
      <c r="J40" s="3">
        <v>2</v>
      </c>
      <c r="K40" s="7">
        <f t="shared" si="3"/>
        <v>102</v>
      </c>
      <c r="L40">
        <v>2800000000000000</v>
      </c>
      <c r="M40">
        <v>1400000000000000</v>
      </c>
    </row>
    <row r="41" spans="1:13">
      <c r="A41" s="2" t="s">
        <v>127</v>
      </c>
      <c r="B41" s="3">
        <v>1</v>
      </c>
      <c r="C41" s="13" t="s">
        <v>128</v>
      </c>
      <c r="D41" s="5">
        <v>0.1</v>
      </c>
      <c r="E41" s="6">
        <v>0.5</v>
      </c>
      <c r="F41" s="6">
        <v>20</v>
      </c>
      <c r="G41" s="14" t="str">
        <f t="shared" si="2"/>
        <v>03-16 11:00</v>
      </c>
      <c r="I41" s="16" t="s">
        <v>259</v>
      </c>
      <c r="J41" s="3">
        <v>1</v>
      </c>
      <c r="K41" s="7">
        <f t="shared" si="3"/>
        <v>103</v>
      </c>
      <c r="L41">
        <v>120000000000000</v>
      </c>
      <c r="M41">
        <v>60000000000000</v>
      </c>
    </row>
    <row r="42" spans="1:13">
      <c r="A42" s="2" t="s">
        <v>130</v>
      </c>
      <c r="B42" s="3">
        <v>1</v>
      </c>
      <c r="C42" s="13" t="s">
        <v>131</v>
      </c>
      <c r="D42" s="5">
        <v>0.1</v>
      </c>
      <c r="E42" s="6">
        <v>0.5</v>
      </c>
      <c r="F42" s="6">
        <v>20</v>
      </c>
      <c r="G42" s="14" t="str">
        <f t="shared" si="2"/>
        <v>03-16 12:00</v>
      </c>
      <c r="I42" s="16" t="s">
        <v>260</v>
      </c>
      <c r="J42" s="3">
        <v>1</v>
      </c>
      <c r="K42" s="7">
        <f t="shared" si="3"/>
        <v>104</v>
      </c>
      <c r="L42">
        <v>150000000000000</v>
      </c>
      <c r="M42">
        <v>75000000000000</v>
      </c>
    </row>
    <row r="43" spans="1:13">
      <c r="A43" s="2" t="s">
        <v>133</v>
      </c>
      <c r="B43" s="3">
        <v>1</v>
      </c>
      <c r="C43" s="13" t="s">
        <v>89</v>
      </c>
      <c r="D43" s="5">
        <v>0.1</v>
      </c>
      <c r="E43" s="6">
        <v>0.5</v>
      </c>
      <c r="F43" s="6">
        <v>20</v>
      </c>
      <c r="G43" s="14" t="str">
        <f t="shared" si="2"/>
        <v>03-16 13:00</v>
      </c>
      <c r="I43" s="16" t="s">
        <v>261</v>
      </c>
      <c r="J43" s="3">
        <v>1</v>
      </c>
      <c r="K43" s="7">
        <f t="shared" si="3"/>
        <v>105</v>
      </c>
      <c r="L43">
        <v>290000000000000</v>
      </c>
      <c r="M43">
        <v>145000000000000</v>
      </c>
    </row>
    <row r="44" spans="1:13">
      <c r="A44" s="2" t="s">
        <v>135</v>
      </c>
      <c r="B44" s="3">
        <v>1</v>
      </c>
      <c r="C44" s="13" t="s">
        <v>43</v>
      </c>
      <c r="D44" s="5">
        <v>0.1</v>
      </c>
      <c r="E44" s="6">
        <v>0.5</v>
      </c>
      <c r="F44" s="6">
        <v>20</v>
      </c>
      <c r="G44" s="14" t="str">
        <f t="shared" si="2"/>
        <v>03-16 14:00</v>
      </c>
      <c r="I44" s="16" t="s">
        <v>262</v>
      </c>
      <c r="J44" s="3">
        <v>1</v>
      </c>
      <c r="K44" s="7">
        <f t="shared" si="3"/>
        <v>106</v>
      </c>
      <c r="L44">
        <v>500000000000000</v>
      </c>
      <c r="M44">
        <v>250000000000000</v>
      </c>
    </row>
    <row r="45" spans="1:13">
      <c r="A45" s="2" t="s">
        <v>137</v>
      </c>
      <c r="B45" s="3">
        <v>15</v>
      </c>
      <c r="C45" s="13" t="s">
        <v>138</v>
      </c>
      <c r="D45" s="5">
        <v>0.1</v>
      </c>
      <c r="E45" s="6">
        <v>0.5</v>
      </c>
      <c r="F45" s="6">
        <v>20</v>
      </c>
      <c r="G45" s="14" t="str">
        <f t="shared" si="2"/>
        <v>03-16 15:00</v>
      </c>
      <c r="I45" s="16" t="s">
        <v>263</v>
      </c>
      <c r="J45" s="3">
        <v>15</v>
      </c>
      <c r="K45" s="7">
        <f t="shared" si="3"/>
        <v>121</v>
      </c>
      <c r="L45">
        <v>620000000000000</v>
      </c>
      <c r="M45">
        <v>310000000000000</v>
      </c>
    </row>
    <row r="46" spans="1:13">
      <c r="A46" s="2" t="s">
        <v>140</v>
      </c>
      <c r="B46" s="3">
        <v>15</v>
      </c>
      <c r="C46" s="13" t="s">
        <v>34</v>
      </c>
      <c r="D46" s="5">
        <v>0.1</v>
      </c>
      <c r="E46" s="6">
        <v>0.5</v>
      </c>
      <c r="F46" s="6">
        <v>20</v>
      </c>
      <c r="G46" s="14" t="str">
        <f t="shared" si="2"/>
        <v>03-17 06:00</v>
      </c>
      <c r="I46" s="16" t="s">
        <v>264</v>
      </c>
      <c r="J46" s="3">
        <v>15</v>
      </c>
      <c r="K46" s="7">
        <f t="shared" si="3"/>
        <v>136</v>
      </c>
      <c r="L46">
        <v>310000000000000</v>
      </c>
      <c r="M46">
        <v>155000000000000</v>
      </c>
    </row>
    <row r="47" spans="1:13">
      <c r="A47" s="2" t="s">
        <v>142</v>
      </c>
      <c r="B47" s="3">
        <v>3</v>
      </c>
      <c r="C47" s="13" t="s">
        <v>46</v>
      </c>
      <c r="D47" s="5">
        <v>0.1</v>
      </c>
      <c r="E47" s="6">
        <v>0.5</v>
      </c>
      <c r="F47" s="6">
        <v>20</v>
      </c>
      <c r="G47" s="14" t="str">
        <f t="shared" si="2"/>
        <v>03-17 21:00</v>
      </c>
      <c r="I47" s="16" t="s">
        <v>265</v>
      </c>
      <c r="J47" s="3">
        <v>3</v>
      </c>
      <c r="K47" s="7">
        <f t="shared" si="3"/>
        <v>139</v>
      </c>
      <c r="L47">
        <v>300000000000000</v>
      </c>
      <c r="M47">
        <v>150000000000000</v>
      </c>
    </row>
    <row r="48" spans="1:13">
      <c r="A48" s="2" t="s">
        <v>144</v>
      </c>
      <c r="B48" s="3">
        <v>5</v>
      </c>
      <c r="C48" s="13" t="s">
        <v>145</v>
      </c>
      <c r="D48" s="5">
        <v>0.1</v>
      </c>
      <c r="E48" s="6">
        <v>0.5</v>
      </c>
      <c r="F48" s="6">
        <v>20</v>
      </c>
      <c r="G48" s="14" t="str">
        <f t="shared" si="2"/>
        <v>03-18 00:00</v>
      </c>
      <c r="I48" s="16" t="s">
        <v>266</v>
      </c>
      <c r="J48" s="3">
        <v>5</v>
      </c>
      <c r="K48" s="7">
        <f t="shared" si="3"/>
        <v>144</v>
      </c>
      <c r="L48">
        <v>210000000000000</v>
      </c>
      <c r="M48">
        <v>105000000000000</v>
      </c>
    </row>
    <row r="49" spans="1:13">
      <c r="A49" s="2" t="s">
        <v>147</v>
      </c>
      <c r="B49" s="3">
        <v>3</v>
      </c>
      <c r="C49" s="13" t="s">
        <v>148</v>
      </c>
      <c r="D49" s="5">
        <v>0.1</v>
      </c>
      <c r="E49" s="6">
        <v>0.5</v>
      </c>
      <c r="F49" s="6">
        <v>20</v>
      </c>
      <c r="G49" s="14" t="str">
        <f t="shared" si="2"/>
        <v>03-18 05:00</v>
      </c>
      <c r="I49" s="16" t="s">
        <v>267</v>
      </c>
      <c r="J49" s="3">
        <v>3</v>
      </c>
      <c r="K49" s="7">
        <f t="shared" si="3"/>
        <v>147</v>
      </c>
      <c r="L49">
        <v>1300000000000000</v>
      </c>
      <c r="M49">
        <v>650000000000000</v>
      </c>
    </row>
    <row r="50" spans="1:13">
      <c r="A50" s="2" t="s">
        <v>150</v>
      </c>
      <c r="B50" s="3">
        <v>5</v>
      </c>
      <c r="C50" s="13" t="s">
        <v>151</v>
      </c>
      <c r="D50" s="5">
        <v>0.1</v>
      </c>
      <c r="E50" s="6">
        <v>0.5</v>
      </c>
      <c r="F50" s="6">
        <v>20</v>
      </c>
      <c r="G50" s="14" t="str">
        <f t="shared" si="2"/>
        <v>03-18 08:00</v>
      </c>
      <c r="I50" s="16" t="s">
        <v>268</v>
      </c>
      <c r="J50" s="3">
        <v>5</v>
      </c>
      <c r="K50" s="7">
        <f t="shared" si="3"/>
        <v>152</v>
      </c>
      <c r="L50">
        <v>1800000000000000</v>
      </c>
      <c r="M50">
        <v>900000000000000</v>
      </c>
    </row>
    <row r="51" spans="1:13">
      <c r="A51" s="2" t="s">
        <v>153</v>
      </c>
      <c r="B51" s="3">
        <v>5</v>
      </c>
      <c r="C51" s="13" t="s">
        <v>154</v>
      </c>
      <c r="D51" s="5">
        <v>0.1</v>
      </c>
      <c r="E51" s="6">
        <v>0.5</v>
      </c>
      <c r="F51" s="6">
        <v>20</v>
      </c>
      <c r="G51" s="14" t="str">
        <f t="shared" si="2"/>
        <v>03-18 13:00</v>
      </c>
      <c r="I51" s="16" t="s">
        <v>269</v>
      </c>
      <c r="J51" s="3">
        <v>5</v>
      </c>
      <c r="K51" s="7">
        <f t="shared" si="3"/>
        <v>157</v>
      </c>
      <c r="L51">
        <v>1500000000000000</v>
      </c>
      <c r="M51">
        <v>750000000000000</v>
      </c>
    </row>
    <row r="52" spans="1:13">
      <c r="A52" s="2" t="s">
        <v>156</v>
      </c>
      <c r="B52" s="3">
        <v>11</v>
      </c>
      <c r="C52" s="13" t="s">
        <v>157</v>
      </c>
      <c r="D52" s="5">
        <v>0.1</v>
      </c>
      <c r="E52" s="6">
        <v>0.5</v>
      </c>
      <c r="F52" s="6">
        <v>20</v>
      </c>
      <c r="G52" s="14" t="str">
        <f t="shared" si="2"/>
        <v>03-18 18:00</v>
      </c>
      <c r="I52" s="16" t="s">
        <v>270</v>
      </c>
      <c r="J52" s="3">
        <v>11</v>
      </c>
      <c r="K52" s="7">
        <f t="shared" si="3"/>
        <v>168</v>
      </c>
      <c r="L52">
        <v>1400000000000000</v>
      </c>
      <c r="M52">
        <v>700000000000000</v>
      </c>
    </row>
    <row r="53" spans="1:13">
      <c r="A53" s="2" t="s">
        <v>159</v>
      </c>
      <c r="B53" s="3">
        <v>10</v>
      </c>
      <c r="C53" s="13" t="s">
        <v>148</v>
      </c>
      <c r="D53" s="5">
        <v>0.1</v>
      </c>
      <c r="E53" s="6">
        <v>0.5</v>
      </c>
      <c r="F53" s="6">
        <v>20</v>
      </c>
      <c r="G53" s="14" t="str">
        <f t="shared" si="2"/>
        <v>03-19 05:00</v>
      </c>
      <c r="I53" s="16" t="s">
        <v>271</v>
      </c>
      <c r="J53" s="3">
        <v>10</v>
      </c>
      <c r="K53" s="7">
        <f t="shared" si="3"/>
        <v>178</v>
      </c>
      <c r="L53">
        <v>1300000000000000</v>
      </c>
      <c r="M53">
        <v>650000000000000</v>
      </c>
    </row>
    <row r="54" spans="1:13">
      <c r="A54" s="2" t="s">
        <v>161</v>
      </c>
      <c r="B54" s="3">
        <v>36</v>
      </c>
      <c r="C54" s="13" t="s">
        <v>162</v>
      </c>
      <c r="D54" s="5">
        <v>0.192</v>
      </c>
      <c r="E54" s="6">
        <v>0.5</v>
      </c>
      <c r="F54" s="6">
        <v>20</v>
      </c>
      <c r="G54" s="14" t="str">
        <f t="shared" si="2"/>
        <v>03-19 15:00</v>
      </c>
      <c r="I54" s="16" t="s">
        <v>272</v>
      </c>
      <c r="J54" s="3">
        <v>36</v>
      </c>
      <c r="K54" s="7">
        <f t="shared" si="3"/>
        <v>214</v>
      </c>
      <c r="L54">
        <v>160000000000000</v>
      </c>
      <c r="M54">
        <v>80000000000000</v>
      </c>
    </row>
    <row r="55" spans="1:13">
      <c r="A55" s="2" t="s">
        <v>164</v>
      </c>
      <c r="B55" s="3">
        <v>5</v>
      </c>
      <c r="C55" s="13" t="s">
        <v>30</v>
      </c>
      <c r="D55" s="5">
        <v>0.242</v>
      </c>
      <c r="E55" s="6">
        <v>0.486</v>
      </c>
      <c r="F55" s="6">
        <v>20</v>
      </c>
      <c r="G55" s="14" t="str">
        <f t="shared" si="2"/>
        <v>03-21 03:00</v>
      </c>
      <c r="I55" s="16" t="s">
        <v>273</v>
      </c>
      <c r="J55" s="3">
        <v>5</v>
      </c>
      <c r="K55" s="7">
        <f t="shared" si="3"/>
        <v>219</v>
      </c>
      <c r="L55">
        <v>170000000000000</v>
      </c>
      <c r="M55">
        <v>82620000000000</v>
      </c>
    </row>
    <row r="56" spans="1:13">
      <c r="A56" s="2" t="s">
        <v>166</v>
      </c>
      <c r="B56" s="3">
        <v>4</v>
      </c>
      <c r="C56" s="13" t="s">
        <v>167</v>
      </c>
      <c r="D56" s="5">
        <v>0.125</v>
      </c>
      <c r="E56" s="6">
        <v>0.658</v>
      </c>
      <c r="F56" s="6">
        <v>20</v>
      </c>
      <c r="G56" s="14" t="str">
        <f t="shared" si="2"/>
        <v>03-21 08:00</v>
      </c>
      <c r="I56" s="16" t="s">
        <v>274</v>
      </c>
      <c r="J56" s="3">
        <v>4</v>
      </c>
      <c r="K56" s="7">
        <f t="shared" si="3"/>
        <v>223</v>
      </c>
      <c r="L56">
        <v>42000000000000</v>
      </c>
      <c r="M56">
        <v>27636000000000</v>
      </c>
    </row>
    <row r="57" spans="1:13">
      <c r="A57" s="2" t="s">
        <v>170</v>
      </c>
      <c r="B57" s="3">
        <v>4</v>
      </c>
      <c r="C57" s="13" t="s">
        <v>171</v>
      </c>
      <c r="D57" s="5">
        <v>0.007</v>
      </c>
      <c r="E57" s="6">
        <v>0.594</v>
      </c>
      <c r="F57" s="6">
        <v>20</v>
      </c>
      <c r="G57" s="14" t="str">
        <f t="shared" si="2"/>
        <v>03-21 12:00</v>
      </c>
      <c r="I57" s="16" t="s">
        <v>275</v>
      </c>
      <c r="J57" s="3">
        <v>4</v>
      </c>
      <c r="K57" s="7">
        <f t="shared" si="3"/>
        <v>227</v>
      </c>
      <c r="L57">
        <v>59000000000000</v>
      </c>
      <c r="M57">
        <v>35046000000000</v>
      </c>
    </row>
    <row r="58" spans="1:13">
      <c r="A58" s="2" t="s">
        <v>173</v>
      </c>
      <c r="B58" s="3">
        <v>5</v>
      </c>
      <c r="C58" s="13" t="s">
        <v>167</v>
      </c>
      <c r="D58" s="5">
        <v>0.125</v>
      </c>
      <c r="E58" s="6">
        <v>0.658</v>
      </c>
      <c r="F58" s="6">
        <v>20</v>
      </c>
      <c r="G58" s="14" t="str">
        <f t="shared" si="2"/>
        <v>03-21 16:00</v>
      </c>
      <c r="I58" s="16" t="s">
        <v>276</v>
      </c>
      <c r="J58" s="3">
        <v>5</v>
      </c>
      <c r="K58" s="7">
        <f t="shared" si="3"/>
        <v>232</v>
      </c>
      <c r="L58">
        <v>42000000000000</v>
      </c>
      <c r="M58">
        <v>27636000000000</v>
      </c>
    </row>
    <row r="59" spans="1:13">
      <c r="A59" s="2" t="s">
        <v>175</v>
      </c>
      <c r="B59" s="3">
        <v>26</v>
      </c>
      <c r="C59" s="13" t="s">
        <v>162</v>
      </c>
      <c r="D59" s="5">
        <v>0.01</v>
      </c>
      <c r="E59" s="6">
        <v>0.671</v>
      </c>
      <c r="F59" s="6">
        <v>20</v>
      </c>
      <c r="G59" s="14" t="str">
        <f t="shared" si="2"/>
        <v>03-21 21:00</v>
      </c>
      <c r="I59" s="16" t="s">
        <v>277</v>
      </c>
      <c r="J59" s="3">
        <v>26</v>
      </c>
      <c r="K59" s="7">
        <f t="shared" si="3"/>
        <v>258</v>
      </c>
      <c r="L59">
        <v>160000000000000</v>
      </c>
      <c r="M59">
        <v>107360000000000</v>
      </c>
    </row>
    <row r="60" spans="1:13">
      <c r="A60" s="2" t="s">
        <v>177</v>
      </c>
      <c r="B60" s="3">
        <v>25</v>
      </c>
      <c r="C60" s="13" t="s">
        <v>40</v>
      </c>
      <c r="D60" s="5">
        <v>0.013</v>
      </c>
      <c r="E60" s="6">
        <v>0.495</v>
      </c>
      <c r="F60" s="6">
        <v>20</v>
      </c>
      <c r="G60" s="14" t="str">
        <f t="shared" si="2"/>
        <v>03-22 23:00</v>
      </c>
      <c r="I60" s="16" t="s">
        <v>278</v>
      </c>
      <c r="J60" s="3">
        <v>25</v>
      </c>
      <c r="K60" s="7">
        <f t="shared" si="3"/>
        <v>283</v>
      </c>
      <c r="L60">
        <v>260000000000000</v>
      </c>
      <c r="M60">
        <v>128700000000000</v>
      </c>
    </row>
    <row r="61" spans="1:13">
      <c r="A61" s="2" t="s">
        <v>179</v>
      </c>
      <c r="B61" s="3">
        <v>24</v>
      </c>
      <c r="C61" s="13" t="s">
        <v>62</v>
      </c>
      <c r="D61" s="5">
        <v>0.035</v>
      </c>
      <c r="E61" s="6">
        <v>0.605</v>
      </c>
      <c r="F61" s="6">
        <v>20</v>
      </c>
      <c r="G61" s="14" t="str">
        <f t="shared" si="2"/>
        <v>03-24 00:00</v>
      </c>
      <c r="I61" s="16" t="s">
        <v>279</v>
      </c>
      <c r="J61" s="3">
        <v>24</v>
      </c>
      <c r="K61" s="7">
        <f t="shared" si="3"/>
        <v>307</v>
      </c>
      <c r="L61">
        <v>18000000000000</v>
      </c>
      <c r="M61">
        <v>10890000000000</v>
      </c>
    </row>
    <row r="62" spans="1:13">
      <c r="A62" s="2" t="s">
        <v>181</v>
      </c>
      <c r="B62" s="3">
        <v>35</v>
      </c>
      <c r="C62" s="13" t="s">
        <v>182</v>
      </c>
      <c r="D62" s="5">
        <v>0.054</v>
      </c>
      <c r="E62" s="6">
        <v>0.681</v>
      </c>
      <c r="F62" s="6">
        <v>20</v>
      </c>
      <c r="G62" s="14" t="str">
        <f t="shared" si="2"/>
        <v>03-25 00:00</v>
      </c>
      <c r="I62" s="16" t="s">
        <v>280</v>
      </c>
      <c r="J62" s="3">
        <v>35</v>
      </c>
      <c r="K62" s="7">
        <f t="shared" si="3"/>
        <v>342</v>
      </c>
      <c r="L62">
        <v>41000000000000</v>
      </c>
      <c r="M62">
        <v>27921000000000</v>
      </c>
    </row>
    <row r="63" spans="1:13">
      <c r="A63" s="2" t="s">
        <v>184</v>
      </c>
      <c r="B63" s="3">
        <v>47</v>
      </c>
      <c r="C63" s="13" t="s">
        <v>185</v>
      </c>
      <c r="D63" s="5">
        <v>0.042</v>
      </c>
      <c r="E63" s="6">
        <v>0.901</v>
      </c>
      <c r="F63" s="6">
        <v>20</v>
      </c>
      <c r="G63" s="14" t="str">
        <f t="shared" si="2"/>
        <v>03-26 11:00</v>
      </c>
      <c r="I63" s="16" t="s">
        <v>281</v>
      </c>
      <c r="J63" s="3">
        <v>47</v>
      </c>
      <c r="K63" s="7">
        <f t="shared" si="3"/>
        <v>389</v>
      </c>
      <c r="L63">
        <v>17000000000000</v>
      </c>
      <c r="M63">
        <v>15317000000000</v>
      </c>
    </row>
    <row r="64" spans="1:13">
      <c r="A64" s="2" t="s">
        <v>187</v>
      </c>
      <c r="B64" s="3">
        <v>35</v>
      </c>
      <c r="C64" s="13" t="s">
        <v>188</v>
      </c>
      <c r="D64" s="5">
        <v>0.781</v>
      </c>
      <c r="E64" s="6">
        <v>0.927</v>
      </c>
      <c r="F64" s="6">
        <v>20</v>
      </c>
      <c r="G64" s="14" t="str">
        <f t="shared" si="2"/>
        <v>03-28 10:00</v>
      </c>
      <c r="I64" s="16" t="s">
        <v>282</v>
      </c>
      <c r="J64" s="3">
        <v>35</v>
      </c>
      <c r="K64" s="7">
        <f t="shared" si="3"/>
        <v>424</v>
      </c>
      <c r="L64">
        <v>3900000000000</v>
      </c>
      <c r="M64">
        <v>3615300000000</v>
      </c>
    </row>
    <row r="65" spans="1:13">
      <c r="A65" s="2" t="s">
        <v>190</v>
      </c>
      <c r="B65" s="3">
        <v>14</v>
      </c>
      <c r="C65" s="13" t="s">
        <v>191</v>
      </c>
      <c r="D65" s="5">
        <v>0.621</v>
      </c>
      <c r="E65" s="6">
        <v>0.544</v>
      </c>
      <c r="F65" s="6">
        <v>20</v>
      </c>
      <c r="G65" s="14" t="str">
        <f t="shared" si="2"/>
        <v>03-29 21:00</v>
      </c>
      <c r="I65" s="16" t="s">
        <v>283</v>
      </c>
      <c r="J65" s="3">
        <v>14</v>
      </c>
      <c r="K65" s="7">
        <f t="shared" si="3"/>
        <v>438</v>
      </c>
      <c r="L65">
        <v>9000000000000</v>
      </c>
      <c r="M65">
        <v>4896000000000</v>
      </c>
    </row>
    <row r="66" spans="1:13">
      <c r="A66" s="2" t="s">
        <v>193</v>
      </c>
      <c r="B66" s="3">
        <v>13</v>
      </c>
      <c r="C66" s="13" t="s">
        <v>171</v>
      </c>
      <c r="D66" s="5">
        <v>0.833</v>
      </c>
      <c r="E66" s="6">
        <v>0.688</v>
      </c>
      <c r="F66" s="6">
        <v>20</v>
      </c>
      <c r="G66" s="14" t="str">
        <f t="shared" si="2"/>
        <v>03-30 11:00</v>
      </c>
      <c r="I66" s="16" t="s">
        <v>284</v>
      </c>
      <c r="J66" s="3">
        <v>13</v>
      </c>
      <c r="K66" s="7">
        <f t="shared" si="3"/>
        <v>451</v>
      </c>
      <c r="L66">
        <v>59000000000000</v>
      </c>
      <c r="M66">
        <v>40592000000000</v>
      </c>
    </row>
    <row r="67" spans="1:13">
      <c r="A67" s="2" t="s">
        <v>195</v>
      </c>
      <c r="B67" s="3">
        <v>22</v>
      </c>
      <c r="C67" s="13" t="s">
        <v>196</v>
      </c>
      <c r="D67" s="5">
        <v>0.186</v>
      </c>
      <c r="E67" s="6">
        <v>0.707</v>
      </c>
      <c r="F67" s="6">
        <v>20</v>
      </c>
      <c r="G67" s="14" t="str">
        <f>TEXT(MID(A67,4,1)&amp;"-"&amp;LEFT(A67,2)&amp;" "&amp;MID(A67,5,5),"MM-DD hh:mm")</f>
        <v>03-31 00:00</v>
      </c>
      <c r="I67" s="16" t="s">
        <v>285</v>
      </c>
      <c r="J67" s="3">
        <v>22</v>
      </c>
      <c r="K67" s="7">
        <f t="shared" si="3"/>
        <v>473</v>
      </c>
      <c r="L67">
        <v>14000000000000</v>
      </c>
      <c r="M67">
        <v>9898000000000</v>
      </c>
    </row>
    <row r="68" spans="1:13">
      <c r="A68" s="2" t="s">
        <v>198</v>
      </c>
      <c r="B68" s="3">
        <v>35</v>
      </c>
      <c r="C68" s="13" t="s">
        <v>199</v>
      </c>
      <c r="D68" s="5">
        <v>0.97</v>
      </c>
      <c r="E68" s="6">
        <v>0.933</v>
      </c>
      <c r="F68" s="6">
        <v>20</v>
      </c>
      <c r="G68" s="14" t="str">
        <f>TEXT(MID(A68,4,1)&amp;"-"&amp;LEFT(A68,2)&amp;" "&amp;MID(A68,5,5),"MM-DD hh:mm")</f>
        <v>03-31 22:00</v>
      </c>
      <c r="I68" s="16" t="s">
        <v>286</v>
      </c>
      <c r="J68" s="3">
        <v>35</v>
      </c>
      <c r="K68" s="7">
        <f t="shared" si="3"/>
        <v>508</v>
      </c>
      <c r="L68">
        <v>920000000000</v>
      </c>
      <c r="M68">
        <v>858360000000</v>
      </c>
    </row>
    <row r="69" spans="1:13">
      <c r="A69" s="2" t="s">
        <v>287</v>
      </c>
      <c r="B69" s="3">
        <v>48</v>
      </c>
      <c r="C69" s="13" t="s">
        <v>68</v>
      </c>
      <c r="D69" s="5">
        <v>0.323</v>
      </c>
      <c r="E69" s="6">
        <v>0.894</v>
      </c>
      <c r="F69" s="6">
        <v>20</v>
      </c>
      <c r="G69" s="14" t="str">
        <f>TEXT(MID(A69,4,1)&amp;"-"&amp;LEFT(A69,2)&amp;" "&amp;MID(A69,5,5),"MM-DD hh:mm")</f>
        <v>04-02 09:00</v>
      </c>
      <c r="I69" s="16" t="s">
        <v>288</v>
      </c>
      <c r="J69" s="3">
        <v>48</v>
      </c>
      <c r="K69" s="7">
        <f>K68+J69</f>
        <v>556</v>
      </c>
      <c r="L69">
        <v>10000000000000</v>
      </c>
      <c r="M69">
        <v>8940000000000</v>
      </c>
    </row>
    <row r="70" spans="1:13">
      <c r="A70" s="2" t="s">
        <v>289</v>
      </c>
      <c r="B70" s="3">
        <v>80</v>
      </c>
      <c r="C70" s="13" t="s">
        <v>188</v>
      </c>
      <c r="D70" s="5">
        <v>0.204</v>
      </c>
      <c r="E70" s="6">
        <v>0.894</v>
      </c>
      <c r="F70" s="6">
        <v>20</v>
      </c>
      <c r="G70" s="14" t="str">
        <f>TEXT(MID(A70,4,1)&amp;"-"&amp;LEFT(A70,2)&amp;" "&amp;MID(A70,5,5),"MM-DD hh:mm")</f>
        <v>04-04 09:00</v>
      </c>
      <c r="I70" s="16" t="s">
        <v>290</v>
      </c>
      <c r="J70" s="3">
        <v>80</v>
      </c>
      <c r="K70" s="7">
        <f>K69+J70</f>
        <v>636</v>
      </c>
      <c r="L70">
        <v>3900000000000</v>
      </c>
      <c r="M70">
        <v>3486600000000</v>
      </c>
    </row>
    <row r="71" spans="1:13">
      <c r="A71" s="2" t="s">
        <v>291</v>
      </c>
      <c r="B71" s="3">
        <v>150</v>
      </c>
      <c r="C71" s="13" t="s">
        <v>206</v>
      </c>
      <c r="D71" s="5">
        <v>0.5</v>
      </c>
      <c r="E71" s="6">
        <v>0.948</v>
      </c>
      <c r="F71" s="6">
        <v>20</v>
      </c>
      <c r="G71" s="14" t="str">
        <f>TEXT(MID(A71,4,1)&amp;"-"&amp;LEFT(A71,2)&amp;" "&amp;MID(A71,5,5),"MM-DD hh:mm")</f>
        <v>04-07 17:00</v>
      </c>
      <c r="I71" s="16" t="s">
        <v>292</v>
      </c>
      <c r="J71" s="3">
        <v>150</v>
      </c>
      <c r="K71" s="7">
        <f>K70+J71</f>
        <v>786</v>
      </c>
      <c r="L71">
        <v>700000000000</v>
      </c>
      <c r="M71">
        <v>663600000000</v>
      </c>
    </row>
    <row r="72" spans="1:13">
      <c r="A72" s="2" t="s">
        <v>208</v>
      </c>
      <c r="B72" s="3">
        <v>409</v>
      </c>
      <c r="C72" s="13" t="s">
        <v>206</v>
      </c>
      <c r="D72" s="5">
        <v>0.257</v>
      </c>
      <c r="E72" s="6">
        <v>0.948</v>
      </c>
      <c r="F72" s="6">
        <v>20</v>
      </c>
      <c r="G72" s="14" t="str">
        <f>TEXT(MID(A72,4,1)&amp;"-"&amp;LEFT(A72,2)&amp;" "&amp;MID(A72,5,5),"MM-DD hh:mm")</f>
        <v>04-13 23:00</v>
      </c>
      <c r="I72" s="16" t="s">
        <v>293</v>
      </c>
      <c r="J72" s="3">
        <v>409</v>
      </c>
      <c r="K72" s="7">
        <f>K71+J72</f>
        <v>1195</v>
      </c>
      <c r="L72">
        <v>700000000000</v>
      </c>
      <c r="M72">
        <v>663600000000</v>
      </c>
    </row>
    <row r="73" spans="9:9">
      <c r="I73" s="17" t="s">
        <v>294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Blue</dc:creator>
  <cp:lastModifiedBy>卢波</cp:lastModifiedBy>
  <dcterms:created xsi:type="dcterms:W3CDTF">2015-06-05T18:19:00Z</dcterms:created>
  <dcterms:modified xsi:type="dcterms:W3CDTF">2024-08-11T13:43:00Z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F61AC0CD052843BCBB638F208193E7CE_12</vt:lpwstr>
  </property>
  <property fmtid="{D5CDD505-2E9C-101B-9397-08002B2CF9AE}" pid="3" name="KSOProductBuildVer">
    <vt:lpwstr>2052-12.1.0.16729</vt:lpwstr>
  </property>
</Properties>
</file>